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数据" sheetId="2" state="visible" r:id="rId2"/>
    <sheet xmlns:r="http://schemas.openxmlformats.org/officeDocument/2006/relationships" name="分类结果" sheetId="3" state="visible" r:id="rId3"/>
    <sheet xmlns:r="http://schemas.openxmlformats.org/officeDocument/2006/relationships" name="评测汇总" sheetId="4" state="visible" r:id="rId4"/>
    <sheet xmlns:r="http://schemas.openxmlformats.org/officeDocument/2006/relationships" name="SQL结果" sheetId="5" state="visible" r:id="rId5"/>
    <sheet xmlns:r="http://schemas.openxmlformats.org/officeDocument/2006/relationships" name="来源" sheetId="6" state="visible" r:id="rId6"/>
    <sheet xmlns:r="http://schemas.openxmlformats.org/officeDocument/2006/relationships" name="成本测算" sheetId="7" state="visible" r:id="rId7"/>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b val="1"/>
      <sz val="13"/>
    </font>
    <font>
      <sz val="11"/>
    </font>
    <font>
      <b val="1"/>
      <color rgb="00F4EFE4"/>
    </font>
    <font>
      <b val="1"/>
      <sz val="12"/>
    </font>
    <font>
      <b val="1"/>
    </font>
  </fonts>
  <fills count="5">
    <fill>
      <patternFill/>
    </fill>
    <fill>
      <patternFill patternType="gray125"/>
    </fill>
    <fill>
      <patternFill patternType="solid">
        <fgColor rgb="001D1B17"/>
      </patternFill>
    </fill>
    <fill>
      <patternFill patternType="solid">
        <fgColor rgb="00D8E8E1"/>
      </patternFill>
    </fill>
    <fill>
      <patternFill patternType="solid">
        <fgColor rgb="00FFF2CC"/>
      </patternFill>
    </fill>
  </fills>
  <borders count="2">
    <border>
      <left/>
      <right/>
      <top/>
      <bottom/>
      <diagonal/>
    </border>
    <border>
      <bottom style="thin">
        <color rgb="00CFC5AD"/>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3" fillId="2" borderId="0" pivotButton="0" quotePrefix="0" xfId="0"/>
    <xf numFmtId="164" fontId="0" fillId="3" borderId="0" pivotButton="0" quotePrefix="0" xfId="0"/>
    <xf numFmtId="0" fontId="0" fillId="0" borderId="0" applyAlignment="1" pivotButton="0" quotePrefix="0" xfId="0">
      <alignment vertical="top" wrapText="1"/>
    </xf>
    <xf numFmtId="0" fontId="0" fillId="4" borderId="0" pivotButton="0" quotePrefix="0" xfId="0"/>
    <xf numFmtId="0" fontId="0" fillId="2" borderId="0" pivotButton="0" quotePrefix="0" xfId="0"/>
    <xf numFmtId="2" fontId="0" fillId="3" borderId="0" pivotButton="0" quotePrefix="0" xfId="0"/>
    <xf numFmtId="0" fontId="5"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某奶粉品牌业务研究与个人概念验证案例：公开投诉分拣（单一产品系列）</t>
        </is>
      </c>
    </row>
    <row r="2">
      <c r="A2" s="2" t="inlineStr">
        <is>
          <t>范围：基于公开资料的某奶粉品牌业务研究与个人概念验证（与该品牌无关），包括公开投诉的数据分析、关键词规则与 AI 的对比，以及单位经济测算；内部流程待访谈确认。</t>
        </is>
      </c>
    </row>
    <row r="3">
      <c r="A3" s="2" t="inlineStr">
        <is>
          <t>数据：黑猫投诉 · 该品牌商家页公开列表（未登录，2026-10-15 采集），筛选标题或摘要含该系列两个产品名、发起日期 2026-07-15 至 2026-10-15，共 41 条；按投诉单号去重；用户昵称未保存；30 条摘要被平台截断。</t>
        </is>
      </c>
    </row>
    <row r="4">
      <c r="A4" s="2" t="inlineStr">
        <is>
          <t>口径：占比以这 41 条公开投诉为分母，描述样本结构。</t>
        </is>
      </c>
    </row>
    <row r="5">
      <c r="A5" s="2" t="inlineStr">
        <is>
          <t>标签（参考标签待人工复核，0/41）：一致率用来定位错误类型：参考标签由作者借助 Claude 标注、尚待人工复核，与 AI 同源，AI 的一致率会偏高；41 条样本适合找出错误模式，不足以估计总体准确率。 AI 结果由一个不读参考标签的 Claude 子代理离线批量生成，复核后不重新生成。</t>
        </is>
      </c>
    </row>
    <row r="6">
      <c r="A6" s="2" t="inlineStr">
        <is>
          <t>成本测算：黄色格为假设（时长、时薪、模型费、维护工时，可改），绿色格为按数据与标签计算的公式。</t>
        </is>
      </c>
    </row>
    <row r="7">
      <c r="A7" s="2" t="inlineStr">
        <is>
          <t>工作表：数据 / 分类结果 / 评测汇总 / SQL结果 / 来源 / 成本测算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8" customWidth="1" min="3" max="3"/>
    <col width="28" customWidth="1" min="4" max="4"/>
    <col width="70" customWidth="1" min="5" max="5"/>
    <col width="18" customWidth="1" min="6" max="6"/>
    <col width="16" customWidth="1" min="7" max="7"/>
    <col width="8" customWidth="1" min="8" max="8"/>
    <col width="8" customWidth="1" min="9" max="9"/>
    <col width="15" customWidth="1" min="10" max="10"/>
    <col width="48" customWidth="1" min="11" max="11"/>
  </cols>
  <sheetData>
    <row r="1">
      <c r="A1" s="3" t="inlineStr">
        <is>
          <t>id</t>
        </is>
      </c>
      <c r="B1" s="3" t="inlineStr">
        <is>
          <t>date</t>
        </is>
      </c>
      <c r="C1" s="3" t="inlineStr">
        <is>
          <t>status</t>
        </is>
      </c>
      <c r="D1" s="3" t="inlineStr">
        <is>
          <t>title</t>
        </is>
      </c>
      <c r="E1" s="3" t="inlineStr">
        <is>
          <t>excerpt</t>
        </is>
      </c>
      <c r="F1" s="3" t="inlineStr">
        <is>
          <t>demand</t>
        </is>
      </c>
      <c r="G1" s="3" t="inlineStr">
        <is>
          <t>channel_mentioned</t>
        </is>
      </c>
      <c r="H1" s="3" t="inlineStr">
        <is>
          <t>truncated</t>
        </is>
      </c>
      <c r="I1" s="3" t="inlineStr">
        <is>
          <t>health_mention</t>
        </is>
      </c>
      <c r="J1" s="3" t="inlineStr">
        <is>
          <t>batch_no</t>
        </is>
      </c>
      <c r="K1" s="3" t="inlineStr">
        <is>
          <t>url</t>
        </is>
      </c>
    </row>
    <row r="2">
      <c r="A2" s="4" t="inlineStr">
        <is>
          <t>17402255409</t>
        </is>
      </c>
      <c r="B2" s="4" t="inlineStr">
        <is>
          <t>2026-10-15</t>
        </is>
      </c>
      <c r="C2" s="4" t="inlineStr">
        <is>
          <t>已回复</t>
        </is>
      </c>
      <c r="D2" s="4" t="inlineStr">
        <is>
          <t>飞鹤旗舰店客服失误致我权益受损</t>
        </is>
      </c>
      <c r="E2" s="4" t="inlineStr">
        <is>
          <t>2026.10.7在京东平台飞鹤旗舰店购买卓睿pro奶粉一罐，后面联系客服参加新客买一送一活动，13号我打开奶粉，按照要求扫罐子里面的码，来领取一罐奶粉。扫码前，我为了防止扫错码，我特地问了店铺客服2遍，要用哪个手机号码扫，客服就回了2次蓝色字体截图，截图里并没有说明确是宝妈登记的号码，还是我购买这个奶粉的号码(...</t>
        </is>
      </c>
      <c r="F2" s="4" t="inlineStr">
        <is>
          <t>赔偿,退货退款,作出处罚,道歉</t>
        </is>
      </c>
      <c r="G2" s="4" t="inlineStr">
        <is>
          <t>京东</t>
        </is>
      </c>
      <c r="H2" s="4" t="n">
        <v>1</v>
      </c>
      <c r="I2" s="4" t="n">
        <v>0</v>
      </c>
      <c r="J2" s="4" t="inlineStr"/>
      <c r="K2" s="4" t="inlineStr">
        <is>
          <t>https://tousu.sina.com.cn/complaint/view/17402255409/</t>
        </is>
      </c>
    </row>
    <row r="3">
      <c r="A3" s="4" t="inlineStr">
        <is>
          <t>17402208787</t>
        </is>
      </c>
      <c r="B3" s="4" t="inlineStr">
        <is>
          <t>2026-10-12</t>
        </is>
      </c>
      <c r="C3" s="4" t="inlineStr">
        <is>
          <t>已回复</t>
        </is>
      </c>
      <c r="D3" s="4" t="inlineStr">
        <is>
          <t>飞鹤卓睿奶粉集罐卡bug12罐送1罐活动没法参与</t>
        </is>
      </c>
      <c r="E3" s="4" t="inlineStr">
        <is>
          <t>购买飞鹤卓睿奶粉，参加 12 罐送一罐活动。现在已经扫了几箱了，集罐一直显示一。找客服，客服说等小程序更新，但是一直未更新。</t>
        </is>
      </c>
      <c r="F3" s="4" t="inlineStr">
        <is>
          <t>全额赔偿</t>
        </is>
      </c>
      <c r="G3" s="4" t="inlineStr">
        <is>
          <t>品牌小程序/会员平台</t>
        </is>
      </c>
      <c r="H3" s="4" t="n">
        <v>0</v>
      </c>
      <c r="I3" s="4" t="n">
        <v>0</v>
      </c>
      <c r="J3" s="4" t="inlineStr"/>
      <c r="K3" s="4" t="inlineStr">
        <is>
          <t>https://tousu.sina.com.cn/complaint/view/17402208787/</t>
        </is>
      </c>
    </row>
    <row r="4">
      <c r="A4" s="4" t="inlineStr">
        <is>
          <t>17402163961</t>
        </is>
      </c>
      <c r="B4" s="4" t="inlineStr">
        <is>
          <t>2026-10-10</t>
        </is>
      </c>
      <c r="C4" s="4" t="inlineStr">
        <is>
          <t>已回复</t>
        </is>
      </c>
      <c r="D4" s="4" t="inlineStr">
        <is>
          <t>黑龙江飞鹤乳业有限公司</t>
        </is>
      </c>
      <c r="E4" s="4" t="inlineStr">
        <is>
          <t>本人参与飞鹤星飞帆卓睿育儿补贴活动，已经按规则申领了第一罐补贴奶粉，奶粉正常开封食用，后台可查询到我的实名申领记录、订单以及物流签收凭证。 因家中老人不知情，误将喝完的奶粉空罐丢弃，仅保留奶粉，无法扫描罐内码，平台以此为由，锁定我剩余3罐补贴奶粉无法领取。 我联系飞鹤客服反馈情况，客服只机械回复必须...</t>
        </is>
      </c>
      <c r="F4" s="4" t="inlineStr">
        <is>
          <t>发货</t>
        </is>
      </c>
      <c r="G4" s="4" t="inlineStr">
        <is>
          <t>未说明</t>
        </is>
      </c>
      <c r="H4" s="4" t="n">
        <v>1</v>
      </c>
      <c r="I4" s="4" t="n">
        <v>0</v>
      </c>
      <c r="J4" s="4" t="inlineStr"/>
      <c r="K4" s="4" t="inlineStr">
        <is>
          <t>https://tousu.sina.com.cn/complaint/view/17402163961/</t>
        </is>
      </c>
    </row>
    <row r="5">
      <c r="A5" s="4" t="inlineStr">
        <is>
          <t>17402099314</t>
        </is>
      </c>
      <c r="B5" s="4" t="inlineStr">
        <is>
          <t>2026-10-07</t>
        </is>
      </c>
      <c r="C5" s="4" t="inlineStr">
        <is>
          <t>未回复</t>
        </is>
      </c>
      <c r="D5" s="4" t="inlineStr">
        <is>
          <t>淘宝飞鹤官方旗舰店订单被拒发还遭店铺拉黑，协调无果诉求发货或补偿</t>
        </is>
      </c>
      <c r="E5" s="4" t="inlineStr">
        <is>
          <t>我于2026年10月4日，在淘宝平台飞鹤官方旗舰店分3单购买了飞鹤卓睿pro一段奶粉8罐，订单号［编号已隐去］，［编号已隐去］，［编号已隐去］，被该店铺恶意上传为异常订单、拒绝发货，且账号被该店铺拉黑（测试其他账户可正常下单），先与客服沟通可以提供真实用户使用证明，被拒绝，后经淘宝官方客服人工...</t>
        </is>
      </c>
      <c r="F5" s="4" t="inlineStr">
        <is>
          <t>道歉解释,换货补发</t>
        </is>
      </c>
      <c r="G5" s="4" t="inlineStr">
        <is>
          <t>天猫/淘宝</t>
        </is>
      </c>
      <c r="H5" s="4" t="n">
        <v>1</v>
      </c>
      <c r="I5" s="4" t="n">
        <v>0</v>
      </c>
      <c r="J5" s="4" t="inlineStr"/>
      <c r="K5" s="4" t="inlineStr">
        <is>
          <t>https://tousu.sina.com.cn/complaint/view/17402099314/</t>
        </is>
      </c>
    </row>
    <row r="6">
      <c r="A6" s="4" t="inlineStr">
        <is>
          <t>17402080517</t>
        </is>
      </c>
      <c r="B6" s="4" t="inlineStr">
        <is>
          <t>2026-10-06</t>
        </is>
      </c>
      <c r="C6" s="4" t="inlineStr">
        <is>
          <t>已回复</t>
        </is>
      </c>
      <c r="D6" s="4" t="inlineStr">
        <is>
          <t>飞鹤奶粉虚假宣传</t>
        </is>
      </c>
      <c r="E6" s="4" t="inlineStr">
        <is>
          <t>您好，我报名参与飞鹤卓睿星飞帆1段奶粉买一赠一活动，报名审核已通过。 我按照指引，使用报名手机号首次注册星妈会小程序，从未主动注销账号，扫描奶粉罐底溯源码后，客服告知我的账号存在注销记录，无法参与活动。 我向客服索要对应的账号注销凭证，对方无法提供任何注销证明，还告知我当前已经购买的奶粉作废不能参与...</t>
        </is>
      </c>
      <c r="F6" s="4" t="inlineStr">
        <is>
          <t>换货补发</t>
        </is>
      </c>
      <c r="G6" s="4" t="inlineStr">
        <is>
          <t>品牌小程序/会员平台</t>
        </is>
      </c>
      <c r="H6" s="4" t="n">
        <v>1</v>
      </c>
      <c r="I6" s="4" t="n">
        <v>0</v>
      </c>
      <c r="J6" s="4" t="inlineStr"/>
      <c r="K6" s="4" t="inlineStr">
        <is>
          <t>https://tousu.sina.com.cn/complaint/view/17402080517/</t>
        </is>
      </c>
    </row>
    <row r="7">
      <c r="A7" s="4" t="inlineStr">
        <is>
          <t>17401992912</t>
        </is>
      </c>
      <c r="B7" s="4" t="inlineStr">
        <is>
          <t>2026-10-02</t>
        </is>
      </c>
      <c r="C7" s="4" t="inlineStr">
        <is>
          <t>已回复</t>
        </is>
      </c>
      <c r="D7" s="4" t="inlineStr">
        <is>
          <t>飞鹤（甘南）乳品有限公司</t>
        </is>
      </c>
      <c r="E7" s="4" t="inlineStr">
        <is>
          <t>在商丘港汇万达孩子王购买飞鹤星飞帆1段奶粉，连续两罐检出异物。9.23喝奶发现小虫；9.30新开一罐，发现黑色包裹异物，泡水后膨胀变绿色。家里储存环境规范，排除家庭污染。联系门店和飞鹤厂家，厂家拒不承认产品问题，两次仅补偿300g奶粉。婴幼儿配方奶粉出现异物存在重大安全风险，现要求退款+依法赔偿2000元，恳请监...</t>
        </is>
      </c>
      <c r="F7" s="4" t="inlineStr">
        <is>
          <t>退款,赔偿,道歉</t>
        </is>
      </c>
      <c r="G7" s="4" t="inlineStr">
        <is>
          <t>线下门店</t>
        </is>
      </c>
      <c r="H7" s="4" t="n">
        <v>1</v>
      </c>
      <c r="I7" s="4" t="n">
        <v>0</v>
      </c>
      <c r="J7" s="4" t="inlineStr"/>
      <c r="K7" s="4" t="inlineStr">
        <is>
          <t>https://tousu.sina.com.cn/complaint/view/17401992912/</t>
        </is>
      </c>
    </row>
    <row r="8">
      <c r="A8" s="4" t="inlineStr">
        <is>
          <t>17401954202</t>
        </is>
      </c>
      <c r="B8" s="4" t="inlineStr">
        <is>
          <t>2026-09-30</t>
        </is>
      </c>
      <c r="C8" s="4" t="inlineStr">
        <is>
          <t>已回复</t>
        </is>
      </c>
      <c r="D8" s="4" t="inlineStr">
        <is>
          <t>飞鹤奶粉</t>
        </is>
      </c>
      <c r="E8" s="4" t="inlineStr">
        <is>
          <t>我于2026年8月26日在南昌县梓涵孕婴生活馆下单购买一箱飞鹤卓睿奶粉，买之前问过新客买四送一活动，工作人员告知之前参加了补贴活动即可，且之前登记试用飞鹤奶粉时工作人员告知只能在这家享受，所以在此门店下单，现奶粉喝完四罐后扫码兑换四送一活动，显示活动已过期，有聊天记录为证，全程无告知此活动权益时间，并且...</t>
        </is>
      </c>
      <c r="F8" s="4" t="inlineStr">
        <is>
          <t>补回买四送一活动</t>
        </is>
      </c>
      <c r="G8" s="4" t="inlineStr">
        <is>
          <t>线下门店</t>
        </is>
      </c>
      <c r="H8" s="4" t="n">
        <v>1</v>
      </c>
      <c r="I8" s="4" t="n">
        <v>0</v>
      </c>
      <c r="J8" s="4" t="inlineStr"/>
      <c r="K8" s="4" t="inlineStr">
        <is>
          <t>https://tousu.sina.com.cn/complaint/view/17401954202/</t>
        </is>
      </c>
    </row>
    <row r="9">
      <c r="A9" s="4" t="inlineStr">
        <is>
          <t>17401927603</t>
        </is>
      </c>
      <c r="B9" s="4" t="inlineStr">
        <is>
          <t>2026-09-29</t>
        </is>
      </c>
      <c r="C9" s="4" t="inlineStr">
        <is>
          <t>已回复</t>
        </is>
      </c>
      <c r="D9" s="4" t="inlineStr">
        <is>
          <t>活动价买两箱卓睿Pro3段奶粉遭飞鹤拒发货</t>
        </is>
      </c>
      <c r="E9" s="4" t="inlineStr">
        <is>
          <t>9月23日，我在天猫飞鹤星飞帆卓睿官方旗舰店下单了两箱卓睿Pro3段奶粉，到现在9月29了，不给我发货，说相同地址不能买两箱，我想问问哪里有这个规定？还是说我参加活动，价格卖低了你们后悔了？平时1600一箱，活动价格1300一箱，我买两箱怎么了？孩子一个月就要喝一箱，买两箱犯法吗？你们自己的链接也有一次12罐的，为...</t>
        </is>
      </c>
      <c r="F9" s="4" t="inlineStr">
        <is>
          <t>正常发货</t>
        </is>
      </c>
      <c r="G9" s="4" t="inlineStr">
        <is>
          <t>天猫/淘宝</t>
        </is>
      </c>
      <c r="H9" s="4" t="n">
        <v>1</v>
      </c>
      <c r="I9" s="4" t="n">
        <v>0</v>
      </c>
      <c r="J9" s="4" t="inlineStr"/>
      <c r="K9" s="4" t="inlineStr">
        <is>
          <t>https://tousu.sina.com.cn/complaint/view/17401927603/</t>
        </is>
      </c>
    </row>
    <row r="10">
      <c r="A10" s="4" t="inlineStr">
        <is>
          <t>17401788734</t>
        </is>
      </c>
      <c r="B10" s="4" t="inlineStr">
        <is>
          <t>2026-09-22</t>
        </is>
      </c>
      <c r="C10" s="4" t="inlineStr">
        <is>
          <t>已回复</t>
        </is>
      </c>
      <c r="D10" s="4" t="inlineStr">
        <is>
          <t>飞鹤官方旗舰店赠品滑板车鼓包联系客服无明确方案</t>
        </is>
      </c>
      <c r="E10" s="4" t="inlineStr">
        <is>
          <t>在飞鹤官方旗舰店购买的飞鹤奶粉，单编号：［编号已隐去］ 商品：飞鹤星飞帆卓睿升级配方3段奶粉，购买6罐，商家配套赠送儿童滑板车赠品。 投诉事由：赠品滑板车存在质量缺陷，踏板内部鼓包凸起，存在安全隐患 事情经过： 收到货品后开箱检查，发现购买奶粉赠送的滑板车踏板表面有鼓包，按压可见内部异物凸起，属于出...</t>
        </is>
      </c>
      <c r="F10" s="4" t="inlineStr">
        <is>
          <t>全额赔偿,换货补发,承担运费,道歉解释</t>
        </is>
      </c>
      <c r="G10" s="4" t="inlineStr">
        <is>
          <t>未说明</t>
        </is>
      </c>
      <c r="H10" s="4" t="n">
        <v>1</v>
      </c>
      <c r="I10" s="4" t="n">
        <v>0</v>
      </c>
      <c r="J10" s="4" t="inlineStr"/>
      <c r="K10" s="4" t="inlineStr">
        <is>
          <t>https://tousu.sina.com.cn/complaint/view/17401788734/</t>
        </is>
      </c>
    </row>
    <row r="11">
      <c r="A11" s="4" t="inlineStr">
        <is>
          <t>17401620413</t>
        </is>
      </c>
      <c r="B11" s="4" t="inlineStr">
        <is>
          <t>2026-09-15</t>
        </is>
      </c>
      <c r="C11" s="4" t="inlineStr">
        <is>
          <t>已回复</t>
        </is>
      </c>
      <c r="D11" s="4" t="inlineStr">
        <is>
          <t>活动权益无法使用</t>
        </is>
      </c>
      <c r="E11" s="4" t="inlineStr">
        <is>
          <t>飞鹤鹤礼2.0育儿补贴活动，内码丢失需补码+出生证明上传报错，多方客服无法解决。 本人于2025年9月14日参与飞鹤鹤礼2.0育儿补贴活动，只成功申领孕妈奶粉以及第一罐星飞帆卓睿Pro 758g宝宝奶粉，还有4罐大听奶粉无法领取，目前存在两处问题： 1.第一罐宝宝奶粉丢失内码丢失，申请后台协助补录罐码； 2.上传宝宝出生证明...</t>
        </is>
      </c>
      <c r="F11" s="4" t="inlineStr">
        <is>
          <t>立即核实发放</t>
        </is>
      </c>
      <c r="G11" s="4" t="inlineStr">
        <is>
          <t>未说明</t>
        </is>
      </c>
      <c r="H11" s="4" t="n">
        <v>1</v>
      </c>
      <c r="I11" s="4" t="n">
        <v>0</v>
      </c>
      <c r="J11" s="4" t="inlineStr"/>
      <c r="K11" s="4" t="inlineStr">
        <is>
          <t>https://tousu.sina.com.cn/complaint/view/17401620413/</t>
        </is>
      </c>
    </row>
    <row r="12">
      <c r="A12" s="4" t="inlineStr">
        <is>
          <t>17401610603</t>
        </is>
      </c>
      <c r="B12" s="4" t="inlineStr">
        <is>
          <t>2026-09-15</t>
        </is>
      </c>
      <c r="C12" s="4" t="inlineStr">
        <is>
          <t>已回复</t>
        </is>
      </c>
      <c r="D12" s="4" t="inlineStr">
        <is>
          <t>飞鹤星飞帆奶粉冲泡出虫子！拒不依法赔偿，漠视婴幼儿安全</t>
        </is>
      </c>
      <c r="E12" s="4" t="inlineStr">
        <is>
          <t>本人参与飞鹤天猫官方旗舰店育儿补贴活动，申领飞鹤星飞帆卓睿 2 段婴幼儿奶粉（具体批次5F26QL202AI62），正规渠道、支付运费获得，属于合法消费产品。 【事发经过】 本人居家正常规范冲泡奶粉，冲调完成的奶液中清晰发现虫子异物，当场拍照、录制视频固定全部证据。 作为给婴幼儿食用的配方奶粉，属于最高食品安全等级...</t>
        </is>
      </c>
      <c r="F12" s="4" t="inlineStr">
        <is>
          <t>赔偿</t>
        </is>
      </c>
      <c r="G12" s="4" t="inlineStr">
        <is>
          <t>天猫/淘宝</t>
        </is>
      </c>
      <c r="H12" s="4" t="n">
        <v>1</v>
      </c>
      <c r="I12" s="4" t="n">
        <v>0</v>
      </c>
      <c r="J12" s="4" t="inlineStr">
        <is>
          <t>5F26QL202AI62</t>
        </is>
      </c>
      <c r="K12" s="4" t="inlineStr">
        <is>
          <t>https://tousu.sina.com.cn/complaint/view/17401610603/</t>
        </is>
      </c>
    </row>
    <row r="13">
      <c r="A13" s="4" t="inlineStr">
        <is>
          <t>17401506340</t>
        </is>
      </c>
      <c r="B13" s="4" t="inlineStr">
        <is>
          <t>2026-09-10</t>
        </is>
      </c>
      <c r="C13" s="4" t="inlineStr">
        <is>
          <t>未回复</t>
        </is>
      </c>
      <c r="D13" s="4" t="inlineStr">
        <is>
          <t>奶粉里发现虫子</t>
        </is>
      </c>
      <c r="E13" s="4" t="inlineStr">
        <is>
          <t>我于2026年8月26日购买的飞鹤星飞帆2段奶粉，于9月9日给孩子冲奶粉时发现里面有虫子，随后联系商家商家表示跟自己没关系，联系拼多多平台一直联系不上，然后打了12345转接才联系上平台客服，希望给一个合理的解释赔偿</t>
        </is>
      </c>
      <c r="F13" s="4" t="inlineStr">
        <is>
          <t>赔偿,道歉</t>
        </is>
      </c>
      <c r="G13" s="4" t="inlineStr">
        <is>
          <t>拼多多</t>
        </is>
      </c>
      <c r="H13" s="4" t="n">
        <v>0</v>
      </c>
      <c r="I13" s="4" t="n">
        <v>0</v>
      </c>
      <c r="J13" s="4" t="inlineStr"/>
      <c r="K13" s="4" t="inlineStr">
        <is>
          <t>https://tousu.sina.com.cn/complaint/view/17401506340/</t>
        </is>
      </c>
    </row>
    <row r="14">
      <c r="A14" s="4" t="inlineStr">
        <is>
          <t>17401443731</t>
        </is>
      </c>
      <c r="B14" s="4" t="inlineStr">
        <is>
          <t>2026-09-07</t>
        </is>
      </c>
      <c r="C14" s="4" t="inlineStr">
        <is>
          <t>未回复</t>
        </is>
      </c>
      <c r="D14" s="4" t="inlineStr">
        <is>
          <t>飞鹤星飞帆奶粉罐内有异物</t>
        </is>
      </c>
      <c r="E14" s="4" t="inlineStr">
        <is>
          <t>我于2026年7月份在线下母婴店购买飞鹤星飞帆1段奶粉6罐，随后在给小孩兑奶粉时，发现其中一罐奶粉罐内有异物，幸好发现及时，婴儿食品安全问题不容忽视，要求厂家退一赔十。</t>
        </is>
      </c>
      <c r="F14" s="4" t="inlineStr">
        <is>
          <t>退一赔十</t>
        </is>
      </c>
      <c r="G14" s="4" t="inlineStr">
        <is>
          <t>线下门店</t>
        </is>
      </c>
      <c r="H14" s="4" t="n">
        <v>0</v>
      </c>
      <c r="I14" s="4" t="n">
        <v>0</v>
      </c>
      <c r="J14" s="4" t="inlineStr"/>
      <c r="K14" s="4" t="inlineStr">
        <is>
          <t>https://tousu.sina.com.cn/complaint/view/17401443731/</t>
        </is>
      </c>
    </row>
    <row r="15">
      <c r="A15" s="4" t="inlineStr">
        <is>
          <t>17401352501</t>
        </is>
      </c>
      <c r="B15" s="4" t="inlineStr">
        <is>
          <t>2026-09-04</t>
        </is>
      </c>
      <c r="C15" s="4" t="inlineStr">
        <is>
          <t>未回复</t>
        </is>
      </c>
      <c r="D15" s="4" t="inlineStr">
        <is>
          <t>在飞鹤官方旗舰店买的奶粉吃出虫子，退货后商家赔偿推拖</t>
        </is>
      </c>
      <c r="E15" s="4" t="inlineStr">
        <is>
          <t>投诉淘宝飞鹤官方旗舰店：婴幼儿奶粉吃出虫子，售后敷衍拖延！ 购买信息： 2026.8.22在天猫飞鹤官方旗舰店购买飞鹤卓睿2段奶粉（订单号［编号已隐去］），金额226元。 问题经过： 拆封使用过程中，在奶粉罐内发现虫子（已拍照/录像）。立即联系飞鹤客服，对方要求寄回问题奶粉，本人配合寄回（单号［编号已隐去］...</t>
        </is>
      </c>
      <c r="F15" s="4" t="inlineStr">
        <is>
          <t>退货退款,假一赔三</t>
        </is>
      </c>
      <c r="G15" s="4" t="inlineStr">
        <is>
          <t>天猫/淘宝</t>
        </is>
      </c>
      <c r="H15" s="4" t="n">
        <v>1</v>
      </c>
      <c r="I15" s="4" t="n">
        <v>0</v>
      </c>
      <c r="J15" s="4" t="inlineStr"/>
      <c r="K15" s="4" t="inlineStr">
        <is>
          <t>https://tousu.sina.com.cn/complaint/view/17401352501/</t>
        </is>
      </c>
    </row>
    <row r="16">
      <c r="A16" s="4" t="inlineStr">
        <is>
          <t>17401290214</t>
        </is>
      </c>
      <c r="B16" s="4" t="inlineStr">
        <is>
          <t>2026-09-01</t>
        </is>
      </c>
      <c r="C16" s="4" t="inlineStr">
        <is>
          <t>未回复</t>
        </is>
      </c>
      <c r="D16" s="4" t="inlineStr">
        <is>
          <t>飞鹤官方旗舰店</t>
        </is>
      </c>
      <c r="E16" s="4" t="inlineStr">
        <is>
          <t>我在2026年7月30号在淘宝飞鹤官方旗舰店买了三罐星飞帆卓睿一段奶粉，其中一罐的奶粉里，勺子上有不知名的黑色异物，飞鹤官方不正面处理</t>
        </is>
      </c>
      <c r="F16" s="4" t="inlineStr">
        <is>
          <t>退款</t>
        </is>
      </c>
      <c r="G16" s="4" t="inlineStr">
        <is>
          <t>天猫/淘宝</t>
        </is>
      </c>
      <c r="H16" s="4" t="n">
        <v>0</v>
      </c>
      <c r="I16" s="4" t="n">
        <v>0</v>
      </c>
      <c r="J16" s="4" t="inlineStr"/>
      <c r="K16" s="4" t="inlineStr">
        <is>
          <t>https://tousu.sina.com.cn/complaint/view/17401290214/</t>
        </is>
      </c>
    </row>
    <row r="17">
      <c r="A17" s="4" t="inlineStr">
        <is>
          <t>17401285142</t>
        </is>
      </c>
      <c r="B17" s="4" t="inlineStr">
        <is>
          <t>2026-09-01</t>
        </is>
      </c>
      <c r="C17" s="4" t="inlineStr">
        <is>
          <t>已回复</t>
        </is>
      </c>
      <c r="D17" s="4" t="inlineStr">
        <is>
          <t>飞鹤星飞帆 2 段喝出异物</t>
        </is>
      </c>
      <c r="E17" s="4" t="inlineStr">
        <is>
          <t>本人2026年6月13日购买飞鹤星飞帆奶粉，奶粉开封第二天，冲泡时发现奶粉内存在不明异物。 发现问题后立刻停止给宝宝饮用该罐奶粉，原罐奶粉、异物均完整封存，已经拍照、录像留存证据，保存了全部订单及沟通记录。 婴幼儿奶粉属于特殊食品，奶粉中出现异物已经不符合食品安全标准。联系品牌售后沟通，对方仅提出换货/退...</t>
        </is>
      </c>
      <c r="F17" s="4" t="inlineStr">
        <is>
          <t>退一赔十</t>
        </is>
      </c>
      <c r="G17" s="4" t="inlineStr">
        <is>
          <t>未说明</t>
        </is>
      </c>
      <c r="H17" s="4" t="n">
        <v>1</v>
      </c>
      <c r="I17" s="4" t="n">
        <v>0</v>
      </c>
      <c r="J17" s="4" t="inlineStr"/>
      <c r="K17" s="4" t="inlineStr">
        <is>
          <t>https://tousu.sina.com.cn/complaint/view/17401285142/</t>
        </is>
      </c>
    </row>
    <row r="18">
      <c r="A18" s="4" t="inlineStr">
        <is>
          <t>17401080047</t>
        </is>
      </c>
      <c r="B18" s="4" t="inlineStr">
        <is>
          <t>2026-08-24</t>
        </is>
      </c>
      <c r="C18" s="4" t="inlineStr">
        <is>
          <t>未回复</t>
        </is>
      </c>
      <c r="D18" s="4" t="inlineStr">
        <is>
          <t>飞鹤奶粉虚假宣传欺骗消费者下单</t>
        </is>
      </c>
      <c r="E18" s="4" t="inlineStr">
        <is>
          <t>本人于2026年8月13日在抖音平台的飞鹤奶粉官方旗舰店购买了1箱飞鹤卓睿奶粉（图1为下单截图），价值1473元，后续出现承诺的赠品不发货，多次协商无效，商家拒绝发这款赠品。当时刷抖音的时候刷到了飞鹤多个直播间都在搞活动，我是刷到好几次直播间，我家是喝这款奶粉的，我就点进直播间看，主播就介绍奶粉的活动，拍下找...</t>
        </is>
      </c>
      <c r="F18" s="4" t="inlineStr">
        <is>
          <t>道歉解释,全额赔偿</t>
        </is>
      </c>
      <c r="G18" s="4" t="inlineStr">
        <is>
          <t>抖音</t>
        </is>
      </c>
      <c r="H18" s="4" t="n">
        <v>1</v>
      </c>
      <c r="I18" s="4" t="n">
        <v>0</v>
      </c>
      <c r="J18" s="4" t="inlineStr"/>
      <c r="K18" s="4" t="inlineStr">
        <is>
          <t>https://tousu.sina.com.cn/complaint/view/17401080047/</t>
        </is>
      </c>
    </row>
    <row r="19">
      <c r="A19" s="4" t="inlineStr">
        <is>
          <t>17400940389</t>
        </is>
      </c>
      <c r="B19" s="4" t="inlineStr">
        <is>
          <t>2026-08-18</t>
        </is>
      </c>
      <c r="C19" s="4" t="inlineStr">
        <is>
          <t>未回复</t>
        </is>
      </c>
      <c r="D19" s="4" t="inlineStr">
        <is>
          <t>使用抖音平台优惠之后飞鹤母婴旗舰店已地址异常为由拒绝发货</t>
        </is>
      </c>
      <c r="E19" s="4" t="inlineStr">
        <is>
          <t>我在今天购买了飞鹤星飞帆二段一箱 因使用了抖音平台优惠和积分抵扣 商家已地址异常为由拒绝发货需补充使用奶粉的凭证 已按照要求提供 依旧以地址异常为由拒绝发货 并已实际金额低 赠品300g奶粉和定制礼品拒绝赠送</t>
        </is>
      </c>
      <c r="F19" s="4" t="inlineStr">
        <is>
          <t>发货和赠品</t>
        </is>
      </c>
      <c r="G19" s="4" t="inlineStr">
        <is>
          <t>抖音</t>
        </is>
      </c>
      <c r="H19" s="4" t="n">
        <v>0</v>
      </c>
      <c r="I19" s="4" t="n">
        <v>0</v>
      </c>
      <c r="J19" s="4" t="inlineStr"/>
      <c r="K19" s="4" t="inlineStr">
        <is>
          <t>https://tousu.sina.com.cn/complaint/view/17400940389/</t>
        </is>
      </c>
    </row>
    <row r="20">
      <c r="A20" s="4" t="inlineStr">
        <is>
          <t>17400916652</t>
        </is>
      </c>
      <c r="B20" s="4" t="inlineStr">
        <is>
          <t>2026-08-18</t>
        </is>
      </c>
      <c r="C20" s="4" t="inlineStr">
        <is>
          <t>未回复</t>
        </is>
      </c>
      <c r="D20" s="4" t="inlineStr">
        <is>
          <t>飞鹤奶粉中有异物</t>
        </is>
      </c>
      <c r="E20" s="4" t="inlineStr">
        <is>
          <t>3月5日在昆明五华新城吾悦登康贝比母婴店购买的的飞鹤星飞帆卓初二段奶粉，于7月16日早晨新开封的一罐奶粉，当天夜里12点多第四次冲泡时，舀了两勺后发现多颗褐色状颗粒异物。第二天找到门店，销售解释异物为乳糖焦化现象但无法提供证明，反馈至飞鹤方也是无法提供证明。我的诉求是要求生产方（飞鹤乳业）证明异物成分并...</t>
        </is>
      </c>
      <c r="F20" s="4" t="inlineStr">
        <is>
          <t>证明异物成分,公开道歉</t>
        </is>
      </c>
      <c r="G20" s="4" t="inlineStr">
        <is>
          <t>线下门店</t>
        </is>
      </c>
      <c r="H20" s="4" t="n">
        <v>1</v>
      </c>
      <c r="I20" s="4" t="n">
        <v>0</v>
      </c>
      <c r="J20" s="4" t="inlineStr"/>
      <c r="K20" s="4" t="inlineStr">
        <is>
          <t>https://tousu.sina.com.cn/complaint/view/17400916652/</t>
        </is>
      </c>
    </row>
    <row r="21">
      <c r="A21" s="4" t="inlineStr">
        <is>
          <t>17400909737</t>
        </is>
      </c>
      <c r="B21" s="4" t="inlineStr">
        <is>
          <t>2026-08-17</t>
        </is>
      </c>
      <c r="C21" s="4" t="inlineStr">
        <is>
          <t>未回复</t>
        </is>
      </c>
      <c r="D21" s="4" t="inlineStr">
        <is>
          <t>飞鹤奶粉星非凡卓睿</t>
        </is>
      </c>
      <c r="E21" s="4" t="inlineStr">
        <is>
          <t>我一直在店面和电商平台购买飞鹤奶粉，说扫码参加12送1的活动、到11了突然没有了，店面购买和电商购买的从1开始了</t>
        </is>
      </c>
      <c r="F21" s="4" t="inlineStr">
        <is>
          <t>全额赔偿</t>
        </is>
      </c>
      <c r="G21" s="4" t="inlineStr">
        <is>
          <t>线下门店</t>
        </is>
      </c>
      <c r="H21" s="4" t="n">
        <v>0</v>
      </c>
      <c r="I21" s="4" t="n">
        <v>0</v>
      </c>
      <c r="J21" s="4" t="inlineStr"/>
      <c r="K21" s="4" t="inlineStr">
        <is>
          <t>https://tousu.sina.com.cn/complaint/view/17400909737/</t>
        </is>
      </c>
    </row>
    <row r="22">
      <c r="A22" s="4" t="inlineStr">
        <is>
          <t>17400866530</t>
        </is>
      </c>
      <c r="B22" s="4" t="inlineStr">
        <is>
          <t>2026-08-16</t>
        </is>
      </c>
      <c r="C22" s="4" t="inlineStr">
        <is>
          <t>未回复</t>
        </is>
      </c>
      <c r="D22" s="4" t="inlineStr">
        <is>
          <t>飞鹤未告知集罐需回购买地要求自行跨几百公里解决问题</t>
        </is>
      </c>
      <c r="E22" s="4" t="inlineStr">
        <is>
          <t>本人带小孩出去北海市旅游，忘带奶粉的情况下，在当地购买了一罐700克的飞鹤星飞帆奶粉，我购买了这款奶粉很多年了，咨询的时候电商跟实体店从来没说他们的奶粉集罐活动购买者也受地域管辖，必须在购买地集罐，本人带孩子旅游回来扫码集罐，显示不成功，咨询客服，客服居然来一句，要我自己回到当地去集，搞笑吗，我一个...</t>
        </is>
      </c>
      <c r="F22" s="4" t="inlineStr">
        <is>
          <t>解决当下问题</t>
        </is>
      </c>
      <c r="G22" s="4" t="inlineStr">
        <is>
          <t>线下门店</t>
        </is>
      </c>
      <c r="H22" s="4" t="n">
        <v>1</v>
      </c>
      <c r="I22" s="4" t="n">
        <v>0</v>
      </c>
      <c r="J22" s="4" t="inlineStr"/>
      <c r="K22" s="4" t="inlineStr">
        <is>
          <t>https://tousu.sina.com.cn/complaint/view/17400866530/</t>
        </is>
      </c>
    </row>
    <row r="23">
      <c r="A23" s="4" t="inlineStr">
        <is>
          <t>17400808678</t>
        </is>
      </c>
      <c r="B23" s="4" t="inlineStr">
        <is>
          <t>2026-08-15</t>
        </is>
      </c>
      <c r="C23" s="4" t="inlineStr">
        <is>
          <t>未回复</t>
        </is>
      </c>
      <c r="D23" s="4" t="inlineStr">
        <is>
          <t>武汉爱优达商贸有限公司</t>
        </is>
      </c>
      <c r="E23" s="4" t="inlineStr">
        <is>
          <t>我于2026年8月6日在拼多多平台购买了三罐飞鹤星飞帆奶粉，该店铺名称是武汉爱优达商贸有限公司，订单编号为［编号已隐去］，婴幼儿奶粉属于特殊食品，混入异物存在严重安全隐患，联系商家协商售后，商家拒绝按照《食品安全法》148条法定规则赔付，只提供补发、换货方案，不符合法规要求。 现诉求：1、问题订单全...</t>
        </is>
      </c>
      <c r="F23" s="4" t="inlineStr">
        <is>
          <t>全额赔偿</t>
        </is>
      </c>
      <c r="G23" s="4" t="inlineStr">
        <is>
          <t>拼多多</t>
        </is>
      </c>
      <c r="H23" s="4" t="n">
        <v>1</v>
      </c>
      <c r="I23" s="4" t="n">
        <v>0</v>
      </c>
      <c r="J23" s="4" t="inlineStr"/>
      <c r="K23" s="4" t="inlineStr">
        <is>
          <t>https://tousu.sina.com.cn/complaint/view/17400808678/</t>
        </is>
      </c>
    </row>
    <row r="24">
      <c r="A24" s="4" t="inlineStr">
        <is>
          <t>17400781382</t>
        </is>
      </c>
      <c r="B24" s="4" t="inlineStr">
        <is>
          <t>2026-08-13</t>
        </is>
      </c>
      <c r="C24" s="4" t="inlineStr">
        <is>
          <t>未回复</t>
        </is>
      </c>
      <c r="D24" s="4" t="inlineStr">
        <is>
          <t>奶粉有异物</t>
        </is>
      </c>
      <c r="E24" s="4" t="inlineStr">
        <is>
          <t>我于2026年7月15号在飞鹤代理商购买飞鹤卓睿一段一箱规格750克的奶粉，在2026年8月12号晚上9点开最后一桶发现有异物，于是联系飞鹤官方客服没有联系上，今天早上又联系上了把照片发过去客服让我发过去，客服看了后告知我是奶粉里面的乳铁蛋白，结果豆包说是虫子。现在要求飞鹤官方回复</t>
        </is>
      </c>
      <c r="F24" s="4" t="inlineStr">
        <is>
          <t>假一赔三,全额赔偿,换货补发,退货退款,道歉解释</t>
        </is>
      </c>
      <c r="G24" s="4" t="inlineStr">
        <is>
          <t>线下门店</t>
        </is>
      </c>
      <c r="H24" s="4" t="n">
        <v>0</v>
      </c>
      <c r="I24" s="4" t="n">
        <v>0</v>
      </c>
      <c r="J24" s="4" t="inlineStr"/>
      <c r="K24" s="4" t="inlineStr">
        <is>
          <t>https://tousu.sina.com.cn/complaint/view/17400781382/</t>
        </is>
      </c>
    </row>
    <row r="25">
      <c r="A25" s="4" t="inlineStr">
        <is>
          <t>17400743935</t>
        </is>
      </c>
      <c r="B25" s="4" t="inlineStr">
        <is>
          <t>2026-08-11</t>
        </is>
      </c>
      <c r="C25" s="4" t="inlineStr">
        <is>
          <t>未回复</t>
        </is>
      </c>
      <c r="D25" s="4" t="inlineStr">
        <is>
          <t>抖音购飞鹤奶粉有怪味，商家推诿平台过期不理</t>
        </is>
      </c>
      <c r="E25" s="4" t="inlineStr">
        <is>
          <t>我在抖音平台飞鹤旗舰店买的一箱飞鹤卓睿奶粉 喝到第四罐的时候发现奶粉有味道了 商家让我提供有效证据 我想知道味道我怎么给你拍照片商家不给退 平台不管 说过了时间</t>
        </is>
      </c>
      <c r="F25" s="4" t="inlineStr">
        <is>
          <t>退货退款</t>
        </is>
      </c>
      <c r="G25" s="4" t="inlineStr">
        <is>
          <t>抖音</t>
        </is>
      </c>
      <c r="H25" s="4" t="n">
        <v>0</v>
      </c>
      <c r="I25" s="4" t="n">
        <v>0</v>
      </c>
      <c r="J25" s="4" t="inlineStr"/>
      <c r="K25" s="4" t="inlineStr">
        <is>
          <t>https://tousu.sina.com.cn/complaint/view/17400743935/</t>
        </is>
      </c>
    </row>
    <row r="26">
      <c r="A26" s="4" t="inlineStr">
        <is>
          <t>17400675670</t>
        </is>
      </c>
      <c r="B26" s="4" t="inlineStr">
        <is>
          <t>2026-08-09</t>
        </is>
      </c>
      <c r="C26" s="4" t="inlineStr">
        <is>
          <t>未回复</t>
        </is>
      </c>
      <c r="D26" s="4" t="inlineStr">
        <is>
          <t>飞鹤奶粉有异物</t>
        </is>
      </c>
      <c r="E26" s="4" t="inlineStr">
        <is>
          <t>本人于2026年4月4日在铜川市实体店 倍婴彩·百合团母婴生活馆(铜煤一号店)买了一箱飞鹤卓睿pro一段奶粉，在6月23号打开一罐奶粉中发现异物，絮状物，联系门店让联系客服，客服人家不予处理，门店也不管，毕竟涉及宝宝的健康问题，作为宝妈不得不对孩子负责，依据《食品安全法》第 148 条，食品存在异物属不符合安全标准，...</t>
        </is>
      </c>
      <c r="F26" s="4" t="inlineStr">
        <is>
          <t>退货退款</t>
        </is>
      </c>
      <c r="G26" s="4" t="inlineStr">
        <is>
          <t>线下门店</t>
        </is>
      </c>
      <c r="H26" s="4" t="n">
        <v>1</v>
      </c>
      <c r="I26" s="4" t="n">
        <v>0</v>
      </c>
      <c r="J26" s="4" t="inlineStr"/>
      <c r="K26" s="4" t="inlineStr">
        <is>
          <t>https://tousu.sina.com.cn/complaint/view/17400675670/</t>
        </is>
      </c>
    </row>
    <row r="27">
      <c r="A27" s="4" t="inlineStr">
        <is>
          <t>17400551300</t>
        </is>
      </c>
      <c r="B27" s="4" t="inlineStr">
        <is>
          <t>2026-08-05</t>
        </is>
      </c>
      <c r="C27" s="4" t="inlineStr">
        <is>
          <t>未回复</t>
        </is>
      </c>
      <c r="D27" s="4" t="inlineStr">
        <is>
          <t>飞鹤卓睿奶粉致宝宝拉稀</t>
        </is>
      </c>
      <c r="E27" s="4" t="inlineStr">
        <is>
          <t>我于2026年6月11日在拼多多购买飞鹤卓睿2段奶粉，宝宝吃完后马上拉稀且拉出来的是奶水状，马上于沃尔玛购买同款奶粉，宝宝喝后不拉稀。8月4日咨询飞鹤官方客服，对方称该奶粉为飞鹤厂家直发，拼多多店铺为飞鹤授权店，品质可以保证，但并未解释拼多多购买的为何喝完拉稀，沃尔玛买的喝完不拉稀。而且客服也并未此事件感...</t>
        </is>
      </c>
      <c r="F27" s="4" t="inlineStr">
        <is>
          <t>道歉解释,假一赔三,赔偿</t>
        </is>
      </c>
      <c r="G27" s="4" t="inlineStr">
        <is>
          <t>拼多多、线下门店</t>
        </is>
      </c>
      <c r="H27" s="4" t="n">
        <v>1</v>
      </c>
      <c r="I27" s="4" t="n">
        <v>1</v>
      </c>
      <c r="J27" s="4" t="inlineStr"/>
      <c r="K27" s="4" t="inlineStr">
        <is>
          <t>https://tousu.sina.com.cn/complaint/view/17400551300/</t>
        </is>
      </c>
    </row>
    <row r="28">
      <c r="A28" s="4" t="inlineStr">
        <is>
          <t>17400135464</t>
        </is>
      </c>
      <c r="B28" s="4" t="inlineStr">
        <is>
          <t>2026-08-05</t>
        </is>
      </c>
      <c r="C28" s="4" t="inlineStr">
        <is>
          <t>未回复</t>
        </is>
      </c>
      <c r="D28" s="4" t="inlineStr">
        <is>
          <t>河南省信阳市罗山县维尼贝贝宝城店</t>
        </is>
      </c>
      <c r="E28" s="4" t="inlineStr">
        <is>
          <t>我于2026 年 6月26日在维尼贝贝宝城广场店购买飞鹤星飞帆卓睿1段，奶粉喝了半罐发现奶粉罐壁粘上不明物体，食品异物，侵犯我的人身安全保障权和公平交易权，依据食品安全法要求退一赔三。</t>
        </is>
      </c>
      <c r="F28" s="4" t="inlineStr">
        <is>
          <t>假一赔三,全额赔偿</t>
        </is>
      </c>
      <c r="G28" s="4" t="inlineStr">
        <is>
          <t>线下门店</t>
        </is>
      </c>
      <c r="H28" s="4" t="n">
        <v>0</v>
      </c>
      <c r="I28" s="4" t="n">
        <v>0</v>
      </c>
      <c r="J28" s="4" t="inlineStr"/>
      <c r="K28" s="4" t="inlineStr">
        <is>
          <t>https://tousu.sina.com.cn/complaint/view/17400135464/</t>
        </is>
      </c>
    </row>
    <row r="29">
      <c r="A29" s="4" t="inlineStr">
        <is>
          <t>17400531228</t>
        </is>
      </c>
      <c r="B29" s="4" t="inlineStr">
        <is>
          <t>2026-08-05</t>
        </is>
      </c>
      <c r="C29" s="4" t="inlineStr">
        <is>
          <t>未回复</t>
        </is>
      </c>
      <c r="D29" s="4" t="inlineStr">
        <is>
          <t>淘宝飞鹤官方旗舰店虚假宣传买一赠一活动</t>
        </is>
      </c>
      <c r="E29" s="4" t="inlineStr">
        <is>
          <t>2026年7月31日，我通过微信联系飞鹤乳业公司销售专员，专员告诉我新客可以通过报名参与买一赠一活动，故我依照要求填写报名信息并显示通过审核，并于当天下午花费190元购买了一罐飞鹤星飞帆一段700g产品，专员告知奶粉到后可扫码奶粉内罐二维码进行赠品领取，并未提前告知扫码手机号需和报名资料手机号相同，报名资料手...</t>
        </is>
      </c>
      <c r="F29" s="4" t="inlineStr">
        <is>
          <t>全额赔偿,假一赔三,道歉解释</t>
        </is>
      </c>
      <c r="G29" s="4" t="inlineStr">
        <is>
          <t>天猫/淘宝</t>
        </is>
      </c>
      <c r="H29" s="4" t="n">
        <v>1</v>
      </c>
      <c r="I29" s="4" t="n">
        <v>0</v>
      </c>
      <c r="J29" s="4" t="inlineStr"/>
      <c r="K29" s="4" t="inlineStr">
        <is>
          <t>https://tousu.sina.com.cn/complaint/view/17400531228/</t>
        </is>
      </c>
    </row>
    <row r="30">
      <c r="A30" s="4" t="inlineStr">
        <is>
          <t>17400496529</t>
        </is>
      </c>
      <c r="B30" s="4" t="inlineStr">
        <is>
          <t>2026-08-04</t>
        </is>
      </c>
      <c r="C30" s="4" t="inlineStr">
        <is>
          <t>未回复</t>
        </is>
      </c>
      <c r="D30" s="4" t="inlineStr">
        <is>
          <t>乐友飞鹤奶粉有异物，售后诬消费者，盼真相给说法</t>
        </is>
      </c>
      <c r="E30" s="4" t="inlineStr">
        <is>
          <t>本人于5月30日在乐友线下门店通过孩子王app下单了飞鹤卓睿3段奶粉若干箱，在冲奶粉过程中发现了红色硬块异物，产品不符合安全标准，侵害了安全保障权。我的诉求是厂家对异物的成分进行检查，确认异物是否会对侵害人体健康。另外根据异物成分检测结果，进行对应的赔偿。（补充说明，本人5月在丽家宝贝买的两罐奶粉也在6月...</t>
        </is>
      </c>
      <c r="F30" s="4" t="inlineStr">
        <is>
          <t>道歉解释,假一赔三</t>
        </is>
      </c>
      <c r="G30" s="4" t="inlineStr">
        <is>
          <t>线下门店</t>
        </is>
      </c>
      <c r="H30" s="4" t="n">
        <v>1</v>
      </c>
      <c r="I30" s="4" t="n">
        <v>0</v>
      </c>
      <c r="J30" s="4" t="inlineStr"/>
      <c r="K30" s="4" t="inlineStr">
        <is>
          <t>https://tousu.sina.com.cn/complaint/view/17400496529/</t>
        </is>
      </c>
    </row>
    <row r="31">
      <c r="A31" s="4" t="inlineStr">
        <is>
          <t>17400397840</t>
        </is>
      </c>
      <c r="B31" s="4" t="inlineStr">
        <is>
          <t>2026-08-01</t>
        </is>
      </c>
      <c r="C31" s="4" t="inlineStr">
        <is>
          <t>已回复</t>
        </is>
      </c>
      <c r="D31" s="4" t="inlineStr">
        <is>
          <t>飞鹤星飞帆卓睿官方旗舰店199购买权益卡，复购商品享受权益，复购不发货</t>
        </is>
      </c>
      <c r="E31" s="4" t="inlineStr">
        <is>
          <t>2026年7月28日，在淘宝app上，飞 鹤星飞帆卓睿官方旗舰店发现有一种商品:199购买鹤享卡，赠品是两个小奶粉和洗手液，权益是:复购3桶以上，返现100元，并且后续升段以后购买奶粉还会有赠送。我便购买了权益卡，赠品到货了奶粉喝了，洗手液用了，并且回购了一箱(6桶)。回购的商品，商家拒绝发货，说订单异常，但是我核实...</t>
        </is>
      </c>
      <c r="F31" s="4" t="inlineStr">
        <is>
          <t>发货</t>
        </is>
      </c>
      <c r="G31" s="4" t="inlineStr">
        <is>
          <t>天猫/淘宝</t>
        </is>
      </c>
      <c r="H31" s="4" t="n">
        <v>1</v>
      </c>
      <c r="I31" s="4" t="n">
        <v>0</v>
      </c>
      <c r="J31" s="4" t="inlineStr"/>
      <c r="K31" s="4" t="inlineStr">
        <is>
          <t>https://tousu.sina.com.cn/complaint/view/17400397840/</t>
        </is>
      </c>
    </row>
    <row r="32">
      <c r="A32" s="4" t="inlineStr">
        <is>
          <t>17400368536</t>
        </is>
      </c>
      <c r="B32" s="4" t="inlineStr">
        <is>
          <t>2026-07-31</t>
        </is>
      </c>
      <c r="C32" s="4" t="inlineStr">
        <is>
          <t>未回复</t>
        </is>
      </c>
      <c r="D32" s="4" t="inlineStr">
        <is>
          <t>飞鹤奶粉存在死虫子</t>
        </is>
      </c>
      <c r="E32" s="4" t="inlineStr">
        <is>
          <t>线下实体店购买星飞帆一段共8听，其中一听在冲调中出现死虫子，购买门店推诿给飞鹤400处理，门店不处理，飞鹤400沟通后承诺邮寄问题奶粉回厂即可换奶粉，待奶粉寄回厂后，却一直拖着不办理，消费者询问400后，400却说要配合区域门店签署放弃维权协议才同意换奶粉。消费者拒绝签署放弃维权协议，飞鹤做出拒不赔偿奶粉，也...</t>
        </is>
      </c>
      <c r="F32" s="4" t="inlineStr">
        <is>
          <t>赔偿并且更换奶粉</t>
        </is>
      </c>
      <c r="G32" s="4" t="inlineStr">
        <is>
          <t>线下门店</t>
        </is>
      </c>
      <c r="H32" s="4" t="n">
        <v>1</v>
      </c>
      <c r="I32" s="4" t="n">
        <v>0</v>
      </c>
      <c r="J32" s="4" t="inlineStr"/>
      <c r="K32" s="4" t="inlineStr">
        <is>
          <t>https://tousu.sina.com.cn/complaint/view/17400368536/</t>
        </is>
      </c>
    </row>
    <row r="33">
      <c r="A33" s="4" t="inlineStr">
        <is>
          <t>17400367912</t>
        </is>
      </c>
      <c r="B33" s="4" t="inlineStr">
        <is>
          <t>2026-07-31</t>
        </is>
      </c>
      <c r="C33" s="4" t="inlineStr">
        <is>
          <t>未回复</t>
        </is>
      </c>
      <c r="D33" s="4" t="inlineStr">
        <is>
          <t>飞鹤虚假礼赠承诺，多次推脱不认账，求讨回应得</t>
        </is>
      </c>
      <c r="E33" s="4" t="inlineStr">
        <is>
          <t>我于6月15日在飞鹤京东自营旗舰店购买了星飞帆聚高星，当时说直播间下单可以参与礼赠。我下完单去登记并且联系客服核对礼赠。2个120元京豆和一袋大米。客服回复礼赠登记无误，等购买商品确认收货礼赠就会在15个工作日发出。于是我等了15天还没收到我就联系客服问，她说两个120元京豆，耐心等待到账就行。过了几天还没到...</t>
        </is>
      </c>
      <c r="F33" s="4" t="inlineStr">
        <is>
          <t>全额赔偿</t>
        </is>
      </c>
      <c r="G33" s="4" t="inlineStr">
        <is>
          <t>京东</t>
        </is>
      </c>
      <c r="H33" s="4" t="n">
        <v>1</v>
      </c>
      <c r="I33" s="4" t="n">
        <v>0</v>
      </c>
      <c r="J33" s="4" t="inlineStr"/>
      <c r="K33" s="4" t="inlineStr">
        <is>
          <t>https://tousu.sina.com.cn/complaint/view/17400367912/</t>
        </is>
      </c>
    </row>
    <row r="34">
      <c r="A34" s="4" t="inlineStr">
        <is>
          <t>17400304643</t>
        </is>
      </c>
      <c r="B34" s="4" t="inlineStr">
        <is>
          <t>2026-07-29</t>
        </is>
      </c>
      <c r="C34" s="4" t="inlineStr">
        <is>
          <t>未回复</t>
        </is>
      </c>
      <c r="D34" s="4" t="inlineStr">
        <is>
          <t>淘宝网百亿补贴品牌优选超时不发货冷处理对待消费者</t>
        </is>
      </c>
      <c r="E34" s="4" t="inlineStr">
        <is>
          <t>我于2026年7月16日在淘宝平台百亿补贴品牌优选购买了两罐飞鹤星飞帆卓睿一段奶粉，下单时卖家承诺7月16日发货，截止至今卖家仍然不发货；联系淘宝平台客服，平台客服态度恶劣，行为敷衍不作为；我的诉求是根据消费者权益保护法主张退一赔三，实付款金额的退一赔三</t>
        </is>
      </c>
      <c r="F34" s="4" t="inlineStr">
        <is>
          <t>赔偿</t>
        </is>
      </c>
      <c r="G34" s="4" t="inlineStr">
        <is>
          <t>天猫/淘宝</t>
        </is>
      </c>
      <c r="H34" s="4" t="n">
        <v>0</v>
      </c>
      <c r="I34" s="4" t="n">
        <v>0</v>
      </c>
      <c r="J34" s="4" t="inlineStr"/>
      <c r="K34" s="4" t="inlineStr">
        <is>
          <t>https://tousu.sina.com.cn/complaint/view/17400304643/</t>
        </is>
      </c>
    </row>
    <row r="35">
      <c r="A35" s="4" t="inlineStr">
        <is>
          <t>17400293346</t>
        </is>
      </c>
      <c r="B35" s="4" t="inlineStr">
        <is>
          <t>2026-07-29</t>
        </is>
      </c>
      <c r="C35" s="4" t="inlineStr">
        <is>
          <t>未回复</t>
        </is>
      </c>
      <c r="D35" s="4" t="inlineStr">
        <is>
          <t>飞鹤奶粉商家虚假宣传，欺诈消费者</t>
        </is>
      </c>
      <c r="E35" s="4" t="inlineStr">
        <is>
          <t>我于2026年7月28号在淘宝平台购买1箱卓睿奶粉，价格实付1422元，淘宝宣传页面写了整箱购买送赠品，可是事后商家拒发赠品，说是实付金额未达标，可是宣传页面上没有写实付金额多少算达标，属于商家自己的漏洞，现在拒发赠品欺诈消费者，虚假宣传</t>
        </is>
      </c>
      <c r="F35" s="4" t="inlineStr">
        <is>
          <t>发货,赔偿</t>
        </is>
      </c>
      <c r="G35" s="4" t="inlineStr">
        <is>
          <t>天猫/淘宝</t>
        </is>
      </c>
      <c r="H35" s="4" t="n">
        <v>0</v>
      </c>
      <c r="I35" s="4" t="n">
        <v>0</v>
      </c>
      <c r="J35" s="4" t="inlineStr"/>
      <c r="K35" s="4" t="inlineStr">
        <is>
          <t>https://tousu.sina.com.cn/complaint/view/17400293346/</t>
        </is>
      </c>
    </row>
    <row r="36">
      <c r="A36" s="4" t="inlineStr">
        <is>
          <t>17400267151</t>
        </is>
      </c>
      <c r="B36" s="4" t="inlineStr">
        <is>
          <t>2026-07-28</t>
        </is>
      </c>
      <c r="C36" s="4" t="inlineStr">
        <is>
          <t>未回复</t>
        </is>
      </c>
      <c r="D36" s="4" t="inlineStr">
        <is>
          <t>产品包装上承诺的积分拒不发放</t>
        </is>
      </c>
      <c r="E36" s="4" t="inlineStr">
        <is>
          <t>从线上正规渠道购入5罐飞鹤星飞帆2段奶粉（300克装）。罐底明确写明“揭开标签，扫码得积分”，按照要求揭开扫码后出现“当前扫码人数较多”，没有积分（试了十几次均未成功）。多次联系飞鹤奶粉公众号客服、星妈会客服、官方400电话客服，均承认奶粉是正品，但中听（300克装）没有积分。我说你们包装上说有积分，客服要么睁...</t>
        </is>
      </c>
      <c r="F36" s="4" t="inlineStr">
        <is>
          <t>道歉解释,补发积分</t>
        </is>
      </c>
      <c r="G36" s="4" t="inlineStr">
        <is>
          <t>品牌小程序/会员平台</t>
        </is>
      </c>
      <c r="H36" s="4" t="n">
        <v>1</v>
      </c>
      <c r="I36" s="4" t="n">
        <v>0</v>
      </c>
      <c r="J36" s="4" t="inlineStr"/>
      <c r="K36" s="4" t="inlineStr">
        <is>
          <t>https://tousu.sina.com.cn/complaint/view/17400267151/</t>
        </is>
      </c>
    </row>
    <row r="37">
      <c r="A37" s="4" t="inlineStr">
        <is>
          <t>17400228971</t>
        </is>
      </c>
      <c r="B37" s="4" t="inlineStr">
        <is>
          <t>2026-07-27</t>
        </is>
      </c>
      <c r="C37" s="4" t="inlineStr">
        <is>
          <t>未回复</t>
        </is>
      </c>
      <c r="D37" s="4" t="inlineStr">
        <is>
          <t>骗人的</t>
        </is>
      </c>
      <c r="E37" s="4" t="inlineStr">
        <is>
          <t>我7月9号在安徽省淮南寿县堰口镇七佳母婴店线下购买了一箱飞鹤星飞帆一段，共六罐。开始讲给我190一罐可以扫码还有礼品，后面一直不发货，我催了很久才发货，现在孩子吃了拉肚子，然后商家讲现在不能扫码了，之前都讲可以的，现在讲不可以那我要求剩余的五罐没有开封的申请退货退款，但是商家不同意，态度特别恶劣，现在...</t>
        </is>
      </c>
      <c r="F37" s="4" t="inlineStr">
        <is>
          <t>退货退款</t>
        </is>
      </c>
      <c r="G37" s="4" t="inlineStr">
        <is>
          <t>线下门店</t>
        </is>
      </c>
      <c r="H37" s="4" t="n">
        <v>1</v>
      </c>
      <c r="I37" s="4" t="n">
        <v>1</v>
      </c>
      <c r="J37" s="4" t="inlineStr"/>
      <c r="K37" s="4" t="inlineStr">
        <is>
          <t>https://tousu.sina.com.cn/complaint/view/17400228971/</t>
        </is>
      </c>
    </row>
    <row r="38">
      <c r="A38" s="4" t="inlineStr">
        <is>
          <t>17400167344</t>
        </is>
      </c>
      <c r="B38" s="4" t="inlineStr">
        <is>
          <t>2026-07-25</t>
        </is>
      </c>
      <c r="C38" s="4" t="inlineStr">
        <is>
          <t>已回复</t>
        </is>
      </c>
      <c r="D38" s="4" t="inlineStr">
        <is>
          <t>飞鹤隐瞒活动规则，霸王条款拒绝补录集罐数量</t>
        </is>
      </c>
      <c r="E38" s="4" t="inlineStr">
        <is>
          <t>本人于2025年12月13日在孩子王门店购买飞鹤卓睿星飞帆奶粉12罐，参与品牌“12兑1”集罐赠奶粉活动。购买时门店工作人员、活动宣传页面均未以醒目方式告知两项核心限制：扫码不允许翻拍、扫码定位不得超100公里。 因孩子不在身边，我只能拍摄罐体照片扫码，系统积分正常录入12罐，但其中5罐仅计入积分、不统计集罐数量。奶...</t>
        </is>
      </c>
      <c r="F38" s="4" t="inlineStr">
        <is>
          <t>手工补录相应罐数</t>
        </is>
      </c>
      <c r="G38" s="4" t="inlineStr">
        <is>
          <t>线下门店</t>
        </is>
      </c>
      <c r="H38" s="4" t="n">
        <v>1</v>
      </c>
      <c r="I38" s="4" t="n">
        <v>0</v>
      </c>
      <c r="J38" s="4" t="inlineStr"/>
      <c r="K38" s="4" t="inlineStr">
        <is>
          <t>https://tousu.sina.com.cn/complaint/view/17400167344/</t>
        </is>
      </c>
    </row>
    <row r="39">
      <c r="A39" s="4" t="inlineStr">
        <is>
          <t>17399898918</t>
        </is>
      </c>
      <c r="B39" s="4" t="inlineStr">
        <is>
          <t>2026-07-18</t>
        </is>
      </c>
      <c r="C39" s="4" t="inlineStr">
        <is>
          <t>未回复</t>
        </is>
      </c>
      <c r="D39" s="4" t="inlineStr">
        <is>
          <t>飞鹤奶粉一段奶粉罐里配二段奶粉勺！谋财害命！</t>
        </is>
      </c>
      <c r="E39" s="4" t="inlineStr">
        <is>
          <t>本人于【7月8日】在【广东省徐闻县腾达商行】购买飞鹤卓睿0-6个月1段婴幼儿配方奶粉，罐体印刷明确标注1段配套白色小勺，一平勺兑30ml温水，但奶粉出厂罐内错误放置二段黄色大勺，一勺奶粉重量是1段勺子2倍。 我不知情连续9天使用错误勺子冲奶，奶液蛋白质、矿物质浓度严重超标，刚出生15天新生儿出现大便干结硬块、严重...</t>
        </is>
      </c>
      <c r="F39" s="4" t="inlineStr">
        <is>
          <t>假一赔十,全额赔偿,退货退款,道歉解释</t>
        </is>
      </c>
      <c r="G39" s="4" t="inlineStr">
        <is>
          <t>线下门店</t>
        </is>
      </c>
      <c r="H39" s="4" t="n">
        <v>1</v>
      </c>
      <c r="I39" s="4" t="n">
        <v>1</v>
      </c>
      <c r="J39" s="4" t="inlineStr"/>
      <c r="K39" s="4" t="inlineStr">
        <is>
          <t>https://tousu.sina.com.cn/complaint/view/17399898918/</t>
        </is>
      </c>
    </row>
    <row r="40">
      <c r="A40" s="4" t="inlineStr">
        <is>
          <t>17399894158</t>
        </is>
      </c>
      <c r="B40" s="4" t="inlineStr">
        <is>
          <t>2026-07-17</t>
        </is>
      </c>
      <c r="C40" s="4" t="inlineStr">
        <is>
          <t>已回复</t>
        </is>
      </c>
      <c r="D40" s="4" t="inlineStr">
        <is>
          <t>飞鹤卓睿集罐限制多，客服处理方式引不满求解决</t>
        </is>
      </c>
      <c r="E40" s="4" t="inlineStr">
        <is>
          <t>我儿子出生于3月26号，第一个月吃的母乳，后面去实体店买了一罐卓睿，然后第二个月开始喝，喝完了又买了四罐，后面才知道扫码集罐，然后第一罐和第二罐重复扫了，不算，只能算一罐，然后这五罐扫完算四罐，后面从老家（甘肃买了一箱，）带小孩去了广东东莞，准备在那边上班，然后扫了五罐都没有记录只有积分，剩下一罐还...</t>
        </is>
      </c>
      <c r="F40" s="4" t="inlineStr">
        <is>
          <t>赔偿一罐一段卓睿</t>
        </is>
      </c>
      <c r="G40" s="4" t="inlineStr">
        <is>
          <t>线下门店</t>
        </is>
      </c>
      <c r="H40" s="4" t="n">
        <v>1</v>
      </c>
      <c r="I40" s="4" t="n">
        <v>0</v>
      </c>
      <c r="J40" s="4" t="inlineStr"/>
      <c r="K40" s="4" t="inlineStr">
        <is>
          <t>https://tousu.sina.com.cn/complaint/view/17399894158/</t>
        </is>
      </c>
    </row>
    <row r="41">
      <c r="A41" s="4" t="inlineStr">
        <is>
          <t>17399842503</t>
        </is>
      </c>
      <c r="B41" s="4" t="inlineStr">
        <is>
          <t>2026-07-16</t>
        </is>
      </c>
      <c r="C41" s="4" t="inlineStr">
        <is>
          <t>已回复</t>
        </is>
      </c>
      <c r="D41" s="4" t="inlineStr">
        <is>
          <t>飞鹤星飞帆集罐遇阻，未出库却售卖，望解决保障权益</t>
        </is>
      </c>
      <c r="E41" s="4" t="inlineStr">
        <is>
          <t>本人于2026年7月13号在实体购买的飞鹤星飞帆奶粉一箱6罐。于6.15号扫码发现奶粉不可以像之前购买的那样参与集罐12罐赠送1罐的活动，扫码显示扫码产品超出活动范围，随后当即发微信询问购买商家，商家给的答复说是集罐产品价格高。后又给飞鹤官方致电询问，从官方平台得知产品未出库就售卖了，导致飞鹤官方的活动满12罐送...</t>
        </is>
      </c>
      <c r="F41" s="4" t="inlineStr">
        <is>
          <t>赔偿，给答复</t>
        </is>
      </c>
      <c r="G41" s="4" t="inlineStr">
        <is>
          <t>未说明</t>
        </is>
      </c>
      <c r="H41" s="4" t="n">
        <v>1</v>
      </c>
      <c r="I41" s="4" t="n">
        <v>0</v>
      </c>
      <c r="J41" s="4" t="inlineStr"/>
      <c r="K41" s="4" t="inlineStr">
        <is>
          <t>https://tousu.sina.com.cn/complaint/view/17399842503/</t>
        </is>
      </c>
    </row>
    <row r="42">
      <c r="A42" s="4" t="inlineStr">
        <is>
          <t>17399835541</t>
        </is>
      </c>
      <c r="B42" s="4" t="inlineStr">
        <is>
          <t>2026-07-16</t>
        </is>
      </c>
      <c r="C42" s="4" t="inlineStr">
        <is>
          <t>已回复</t>
        </is>
      </c>
      <c r="D42" s="4" t="inlineStr">
        <is>
          <t>奶粉吃出虫子</t>
        </is>
      </c>
      <c r="E42" s="4" t="inlineStr">
        <is>
          <t>我于2026年7月8日12点15分43秒在淘宝平台飞鹤官方旗舰店付款购买了飞鹤星飞帆一段奶粉，在昨天晚上奶粉吃到中后端发现有一个虫子，前一周孩子频繁吐奶一直不知道原因，前七个月孩子基本不会吐奶，直到昨晚发现虫子。商家销售混有虫子的婴幼儿奶粉，已经侵犯了我的人身安全保障权、知情权、公平交易权以及依法求偿权。该...</t>
        </is>
      </c>
      <c r="F42" s="4" t="inlineStr">
        <is>
          <t>全额赔偿,道歉解释,法定赔偿</t>
        </is>
      </c>
      <c r="G42" s="4" t="inlineStr">
        <is>
          <t>天猫/淘宝</t>
        </is>
      </c>
      <c r="H42" s="4" t="n">
        <v>1</v>
      </c>
      <c r="I42" s="4" t="n">
        <v>1</v>
      </c>
      <c r="J42" s="4" t="inlineStr"/>
      <c r="K42" s="4" t="inlineStr">
        <is>
          <t>https://tousu.sina.com.cn/complaint/view/17399835541/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2" customWidth="1" min="3" max="3"/>
    <col width="16" customWidth="1" min="4" max="4"/>
    <col width="12" customWidth="1" min="5" max="5"/>
    <col width="10" customWidth="1" min="6" max="6"/>
    <col width="10" customWidth="1" min="7" max="7"/>
    <col width="10" customWidth="1" min="8" max="8"/>
    <col width="10" customWidth="1" min="9" max="9"/>
    <col width="34" customWidth="1" min="10" max="10"/>
    <col width="8" customWidth="1" min="11" max="11"/>
    <col width="8" customWidth="1" min="12" max="12"/>
    <col width="18" customWidth="1" min="13" max="13"/>
    <col width="7" customWidth="1" min="14" max="14"/>
    <col width="7" customWidth="1" min="15" max="15"/>
    <col width="46" customWidth="1" min="16" max="16"/>
  </cols>
  <sheetData>
    <row r="1">
      <c r="A1" s="3" t="inlineStr">
        <is>
          <t>id</t>
        </is>
      </c>
      <c r="B1" s="3" t="inlineStr">
        <is>
          <t>标题</t>
        </is>
      </c>
      <c r="C1" s="3" t="inlineStr">
        <is>
          <t>参考类别</t>
        </is>
      </c>
      <c r="D1" s="3" t="inlineStr">
        <is>
          <t>子问题</t>
        </is>
      </c>
      <c r="E1" s="3" t="inlineStr">
        <is>
          <t>参考标签状态</t>
        </is>
      </c>
      <c r="F1" s="3" t="inlineStr">
        <is>
          <t>基线类别</t>
        </is>
      </c>
      <c r="G1" s="3" t="inlineStr">
        <is>
          <t>基线命中词</t>
        </is>
      </c>
      <c r="H1" s="3" t="inlineStr">
        <is>
          <t>基线v2类别</t>
        </is>
      </c>
      <c r="I1" s="3" t="inlineStr">
        <is>
          <t>AI类别</t>
        </is>
      </c>
      <c r="J1" s="3" t="inlineStr">
        <is>
          <t>AI依据原文</t>
        </is>
      </c>
      <c r="K1" s="3" t="inlineStr">
        <is>
          <t>AI健康信号</t>
        </is>
      </c>
      <c r="L1" s="3" t="inlineStr">
        <is>
          <t>AI需复核</t>
        </is>
      </c>
      <c r="M1" s="3" t="inlineStr">
        <is>
          <t>AI复核理由</t>
        </is>
      </c>
      <c r="N1" s="3" t="inlineStr">
        <is>
          <t>基线对</t>
        </is>
      </c>
      <c r="O1" s="3" t="inlineStr">
        <is>
          <t>AI对</t>
        </is>
      </c>
      <c r="P1" s="3" t="inlineStr">
        <is>
          <t>原文链接</t>
        </is>
      </c>
    </row>
    <row r="2">
      <c r="A2" s="4" t="inlineStr">
        <is>
          <t>17402255409</t>
        </is>
      </c>
      <c r="B2" s="4" t="inlineStr">
        <is>
          <t>飞鹤旗舰店客服失误致我权益受损</t>
        </is>
      </c>
      <c r="C2" s="4" t="inlineStr">
        <is>
          <t>活动权益</t>
        </is>
      </c>
      <c r="D2" s="4" t="inlineStr">
        <is>
          <t>扫码手机号/账号</t>
        </is>
      </c>
      <c r="E2" s="4" t="inlineStr">
        <is>
          <t>待人工复核</t>
        </is>
      </c>
      <c r="F2" s="4" t="inlineStr">
        <is>
          <t>活动权益</t>
        </is>
      </c>
      <c r="G2" s="4" t="inlineStr">
        <is>
          <t>权益</t>
        </is>
      </c>
      <c r="H2" s="4" t="inlineStr">
        <is>
          <t>活动权益</t>
        </is>
      </c>
      <c r="I2" s="4" t="inlineStr">
        <is>
          <t>活动权益</t>
        </is>
      </c>
      <c r="J2" s="4" t="inlineStr">
        <is>
          <t>联系客服参加新客买一送一活动</t>
        </is>
      </c>
      <c r="K2" s="4" t="n">
        <v>0</v>
      </c>
      <c r="L2" s="4" t="n">
        <v>0</v>
      </c>
      <c r="M2" s="4" t="inlineStr"/>
      <c r="N2" s="4" t="n">
        <v>1</v>
      </c>
      <c r="O2" s="4" t="n">
        <v>1</v>
      </c>
      <c r="P2" s="4" t="inlineStr">
        <is>
          <t>https://tousu.sina.com.cn/complaint/view/17402255409/</t>
        </is>
      </c>
    </row>
    <row r="3">
      <c r="A3" s="4" t="inlineStr">
        <is>
          <t>17402208787</t>
        </is>
      </c>
      <c r="B3" s="4" t="inlineStr">
        <is>
          <t>飞鹤卓睿奶粉集罐卡bug12罐送1罐活动没法参与</t>
        </is>
      </c>
      <c r="C3" s="4" t="inlineStr">
        <is>
          <t>活动权益</t>
        </is>
      </c>
      <c r="D3" s="4" t="inlineStr">
        <is>
          <t>集罐不累计</t>
        </is>
      </c>
      <c r="E3" s="4" t="inlineStr">
        <is>
          <t>待人工复核</t>
        </is>
      </c>
      <c r="F3" s="4" t="inlineStr">
        <is>
          <t>活动权益</t>
        </is>
      </c>
      <c r="G3" s="4" t="inlineStr">
        <is>
          <t>集罐</t>
        </is>
      </c>
      <c r="H3" s="4" t="inlineStr">
        <is>
          <t>活动权益</t>
        </is>
      </c>
      <c r="I3" s="4" t="inlineStr">
        <is>
          <t>活动权益</t>
        </is>
      </c>
      <c r="J3" s="4" t="inlineStr">
        <is>
          <t>集罐一直显示一</t>
        </is>
      </c>
      <c r="K3" s="4" t="n">
        <v>0</v>
      </c>
      <c r="L3" s="4" t="n">
        <v>0</v>
      </c>
      <c r="M3" s="4" t="inlineStr"/>
      <c r="N3" s="4" t="n">
        <v>1</v>
      </c>
      <c r="O3" s="4" t="n">
        <v>1</v>
      </c>
      <c r="P3" s="4" t="inlineStr">
        <is>
          <t>https://tousu.sina.com.cn/complaint/view/17402208787/</t>
        </is>
      </c>
    </row>
    <row r="4">
      <c r="A4" s="4" t="inlineStr">
        <is>
          <t>17402163961</t>
        </is>
      </c>
      <c r="B4" s="4" t="inlineStr">
        <is>
          <t>黑龙江飞鹤乳业有限公司</t>
        </is>
      </c>
      <c r="C4" s="4" t="inlineStr">
        <is>
          <t>活动权益</t>
        </is>
      </c>
      <c r="D4" s="4" t="inlineStr">
        <is>
          <t>空罐丢失锁权益</t>
        </is>
      </c>
      <c r="E4" s="4" t="inlineStr">
        <is>
          <t>待人工复核</t>
        </is>
      </c>
      <c r="F4" s="4" t="inlineStr">
        <is>
          <t>活动权益</t>
        </is>
      </c>
      <c r="G4" s="4" t="inlineStr">
        <is>
          <t>补贴</t>
        </is>
      </c>
      <c r="H4" s="4" t="inlineStr">
        <is>
          <t>活动权益</t>
        </is>
      </c>
      <c r="I4" s="4" t="inlineStr">
        <is>
          <t>活动权益</t>
        </is>
      </c>
      <c r="J4" s="4" t="inlineStr">
        <is>
          <t>锁定我剩余3罐补贴奶粉无法领取</t>
        </is>
      </c>
      <c r="K4" s="4" t="n">
        <v>0</v>
      </c>
      <c r="L4" s="4" t="n">
        <v>0</v>
      </c>
      <c r="M4" s="4" t="inlineStr"/>
      <c r="N4" s="4" t="n">
        <v>1</v>
      </c>
      <c r="O4" s="4" t="n">
        <v>1</v>
      </c>
      <c r="P4" s="4" t="inlineStr">
        <is>
          <t>https://tousu.sina.com.cn/complaint/view/17402163961/</t>
        </is>
      </c>
    </row>
    <row r="5">
      <c r="A5" s="4" t="inlineStr">
        <is>
          <t>17402099314</t>
        </is>
      </c>
      <c r="B5" s="4" t="inlineStr">
        <is>
          <t>淘宝飞鹤官方旗舰店订单被拒发还遭店铺拉黑，协调无果诉求发货或补偿</t>
        </is>
      </c>
      <c r="C5" s="4" t="inlineStr">
        <is>
          <t>订单发货</t>
        </is>
      </c>
      <c r="D5" s="4" t="inlineStr">
        <is>
          <t>订单异常拒发</t>
        </is>
      </c>
      <c r="E5" s="4" t="inlineStr">
        <is>
          <t>待人工复核</t>
        </is>
      </c>
      <c r="F5" s="4" t="inlineStr">
        <is>
          <t>订单发货</t>
        </is>
      </c>
      <c r="G5" s="4" t="inlineStr">
        <is>
          <t>拒发</t>
        </is>
      </c>
      <c r="H5" s="4" t="inlineStr">
        <is>
          <t>订单发货</t>
        </is>
      </c>
      <c r="I5" s="4" t="inlineStr">
        <is>
          <t>订单发货</t>
        </is>
      </c>
      <c r="J5" s="4" t="inlineStr">
        <is>
          <t>被该店铺恶意上传为异常订单、拒绝发货</t>
        </is>
      </c>
      <c r="K5" s="4" t="n">
        <v>0</v>
      </c>
      <c r="L5" s="4" t="n">
        <v>0</v>
      </c>
      <c r="M5" s="4" t="inlineStr"/>
      <c r="N5" s="4" t="n">
        <v>1</v>
      </c>
      <c r="O5" s="4" t="n">
        <v>1</v>
      </c>
      <c r="P5" s="4" t="inlineStr">
        <is>
          <t>https://tousu.sina.com.cn/complaint/view/17402099314/</t>
        </is>
      </c>
    </row>
    <row r="6">
      <c r="A6" s="4" t="inlineStr">
        <is>
          <t>17402080517</t>
        </is>
      </c>
      <c r="B6" s="4" t="inlineStr">
        <is>
          <t>飞鹤奶粉虚假宣传</t>
        </is>
      </c>
      <c r="C6" s="4" t="inlineStr">
        <is>
          <t>活动权益</t>
        </is>
      </c>
      <c r="D6" s="4" t="inlineStr">
        <is>
          <t>扫码手机号/账号</t>
        </is>
      </c>
      <c r="E6" s="4" t="inlineStr">
        <is>
          <t>待人工复核</t>
        </is>
      </c>
      <c r="F6" s="4" t="inlineStr">
        <is>
          <t>活动权益</t>
        </is>
      </c>
      <c r="G6" s="4" t="inlineStr">
        <is>
          <t>买一赠一</t>
        </is>
      </c>
      <c r="H6" s="4" t="inlineStr">
        <is>
          <t>活动权益</t>
        </is>
      </c>
      <c r="I6" s="4" t="inlineStr">
        <is>
          <t>活动权益</t>
        </is>
      </c>
      <c r="J6" s="4" t="inlineStr">
        <is>
          <t>客服告知我的账号存在注销记录，无法参与活动</t>
        </is>
      </c>
      <c r="K6" s="4" t="n">
        <v>0</v>
      </c>
      <c r="L6" s="4" t="n">
        <v>1</v>
      </c>
      <c r="M6" s="4" t="inlineStr">
        <is>
          <t>账号问题与活动权益并存</t>
        </is>
      </c>
      <c r="N6" s="4" t="n">
        <v>1</v>
      </c>
      <c r="O6" s="4" t="n">
        <v>1</v>
      </c>
      <c r="P6" s="4" t="inlineStr">
        <is>
          <t>https://tousu.sina.com.cn/complaint/view/17402080517/</t>
        </is>
      </c>
    </row>
    <row r="7">
      <c r="A7" s="4" t="inlineStr">
        <is>
          <t>17401992912</t>
        </is>
      </c>
      <c r="B7" s="4" t="inlineStr">
        <is>
          <t>飞鹤（甘南）乳品有限公司</t>
        </is>
      </c>
      <c r="C7" s="4" t="inlineStr">
        <is>
          <t>质量安全</t>
        </is>
      </c>
      <c r="D7" s="4" t="inlineStr">
        <is>
          <t>异物/虫</t>
        </is>
      </c>
      <c r="E7" s="4" t="inlineStr">
        <is>
          <t>待人工复核</t>
        </is>
      </c>
      <c r="F7" s="4" t="inlineStr">
        <is>
          <t>质量安全</t>
        </is>
      </c>
      <c r="G7" s="4" t="inlineStr">
        <is>
          <t>异物</t>
        </is>
      </c>
      <c r="H7" s="4" t="inlineStr">
        <is>
          <t>质量安全</t>
        </is>
      </c>
      <c r="I7" s="4" t="inlineStr">
        <is>
          <t>质量安全</t>
        </is>
      </c>
      <c r="J7" s="4" t="inlineStr">
        <is>
          <t>连续两罐检出异物</t>
        </is>
      </c>
      <c r="K7" s="4" t="n">
        <v>0</v>
      </c>
      <c r="L7" s="4" t="n">
        <v>1</v>
      </c>
      <c r="M7" s="4" t="inlineStr">
        <is>
          <t>质量安全类，需人工核实</t>
        </is>
      </c>
      <c r="N7" s="4" t="n">
        <v>1</v>
      </c>
      <c r="O7" s="4" t="n">
        <v>1</v>
      </c>
      <c r="P7" s="4" t="inlineStr">
        <is>
          <t>https://tousu.sina.com.cn/complaint/view/17401992912/</t>
        </is>
      </c>
    </row>
    <row r="8">
      <c r="A8" s="4" t="inlineStr">
        <is>
          <t>17401954202</t>
        </is>
      </c>
      <c r="B8" s="4" t="inlineStr">
        <is>
          <t>飞鹤奶粉</t>
        </is>
      </c>
      <c r="C8" s="4" t="inlineStr">
        <is>
          <t>活动权益</t>
        </is>
      </c>
      <c r="D8" s="4" t="inlineStr">
        <is>
          <t>活动过期/规则未告知</t>
        </is>
      </c>
      <c r="E8" s="4" t="inlineStr">
        <is>
          <t>待人工复核</t>
        </is>
      </c>
      <c r="F8" s="4" t="inlineStr">
        <is>
          <t>活动权益</t>
        </is>
      </c>
      <c r="G8" s="4" t="inlineStr">
        <is>
          <t>活动</t>
        </is>
      </c>
      <c r="H8" s="4" t="inlineStr">
        <is>
          <t>活动权益</t>
        </is>
      </c>
      <c r="I8" s="4" t="inlineStr">
        <is>
          <t>活动权益</t>
        </is>
      </c>
      <c r="J8" s="4" t="inlineStr">
        <is>
          <t>扫码兑换四送一活动，显示活动已过期</t>
        </is>
      </c>
      <c r="K8" s="4" t="n">
        <v>0</v>
      </c>
      <c r="L8" s="4" t="n">
        <v>0</v>
      </c>
      <c r="M8" s="4" t="inlineStr"/>
      <c r="N8" s="4" t="n">
        <v>1</v>
      </c>
      <c r="O8" s="4" t="n">
        <v>1</v>
      </c>
      <c r="P8" s="4" t="inlineStr">
        <is>
          <t>https://tousu.sina.com.cn/complaint/view/17401954202/</t>
        </is>
      </c>
    </row>
    <row r="9">
      <c r="A9" s="4" t="inlineStr">
        <is>
          <t>17401927603</t>
        </is>
      </c>
      <c r="B9" s="4" t="inlineStr">
        <is>
          <t>活动价买两箱卓睿Pro3段奶粉遭飞鹤拒发货</t>
        </is>
      </c>
      <c r="C9" s="4" t="inlineStr">
        <is>
          <t>订单发货</t>
        </is>
      </c>
      <c r="D9" s="4" t="inlineStr">
        <is>
          <t>订单异常拒发</t>
        </is>
      </c>
      <c r="E9" s="4" t="inlineStr">
        <is>
          <t>待人工复核</t>
        </is>
      </c>
      <c r="F9" s="4" t="inlineStr">
        <is>
          <t>活动权益</t>
        </is>
      </c>
      <c r="G9" s="4" t="inlineStr">
        <is>
          <t>活动</t>
        </is>
      </c>
      <c r="H9" s="4" t="inlineStr">
        <is>
          <t>订单发货</t>
        </is>
      </c>
      <c r="I9" s="4" t="inlineStr">
        <is>
          <t>订单发货</t>
        </is>
      </c>
      <c r="J9" s="4" t="inlineStr">
        <is>
          <t>说相同地址不能买两箱</t>
        </is>
      </c>
      <c r="K9" s="4" t="n">
        <v>0</v>
      </c>
      <c r="L9" s="4" t="n">
        <v>0</v>
      </c>
      <c r="M9" s="4" t="inlineStr"/>
      <c r="N9" s="4" t="n">
        <v>0</v>
      </c>
      <c r="O9" s="4" t="n">
        <v>1</v>
      </c>
      <c r="P9" s="4" t="inlineStr">
        <is>
          <t>https://tousu.sina.com.cn/complaint/view/17401927603/</t>
        </is>
      </c>
    </row>
    <row r="10">
      <c r="A10" s="4" t="inlineStr">
        <is>
          <t>17401788734</t>
        </is>
      </c>
      <c r="B10" s="4" t="inlineStr">
        <is>
          <t>飞鹤官方旗舰店赠品滑板车鼓包联系客服无明确方案</t>
        </is>
      </c>
      <c r="C10" s="4" t="inlineStr">
        <is>
          <t>活动权益</t>
        </is>
      </c>
      <c r="D10" s="4" t="inlineStr">
        <is>
          <t>赠品问题</t>
        </is>
      </c>
      <c r="E10" s="4" t="inlineStr">
        <is>
          <t>待人工复核</t>
        </is>
      </c>
      <c r="F10" s="4" t="inlineStr">
        <is>
          <t>质量安全</t>
        </is>
      </c>
      <c r="G10" s="4" t="inlineStr">
        <is>
          <t>异物</t>
        </is>
      </c>
      <c r="H10" s="4" t="inlineStr">
        <is>
          <t>质量安全</t>
        </is>
      </c>
      <c r="I10" s="4" t="inlineStr">
        <is>
          <t>活动权益</t>
        </is>
      </c>
      <c r="J10" s="4" t="inlineStr">
        <is>
          <t>赠品滑板车存在质量缺陷，踏板内部鼓包凸起</t>
        </is>
      </c>
      <c r="K10" s="4" t="n">
        <v>0</v>
      </c>
      <c r="L10" s="4" t="n">
        <v>0</v>
      </c>
      <c r="M10" s="4" t="inlineStr"/>
      <c r="N10" s="4" t="n">
        <v>0</v>
      </c>
      <c r="O10" s="4" t="n">
        <v>1</v>
      </c>
      <c r="P10" s="4" t="inlineStr">
        <is>
          <t>https://tousu.sina.com.cn/complaint/view/17401788734/</t>
        </is>
      </c>
    </row>
    <row r="11">
      <c r="A11" s="4" t="inlineStr">
        <is>
          <t>17401620413</t>
        </is>
      </c>
      <c r="B11" s="4" t="inlineStr">
        <is>
          <t>活动权益无法使用</t>
        </is>
      </c>
      <c r="C11" s="4" t="inlineStr">
        <is>
          <t>活动权益</t>
        </is>
      </c>
      <c r="D11" s="4" t="inlineStr">
        <is>
          <t>空罐丢失锁权益</t>
        </is>
      </c>
      <c r="E11" s="4" t="inlineStr">
        <is>
          <t>待人工复核</t>
        </is>
      </c>
      <c r="F11" s="4" t="inlineStr">
        <is>
          <t>活动权益</t>
        </is>
      </c>
      <c r="G11" s="4" t="inlineStr">
        <is>
          <t>活动</t>
        </is>
      </c>
      <c r="H11" s="4" t="inlineStr">
        <is>
          <t>活动权益</t>
        </is>
      </c>
      <c r="I11" s="4" t="inlineStr">
        <is>
          <t>活动权益</t>
        </is>
      </c>
      <c r="J11" s="4" t="inlineStr">
        <is>
          <t>内码丢失需补码+出生证明上传报错</t>
        </is>
      </c>
      <c r="K11" s="4" t="n">
        <v>0</v>
      </c>
      <c r="L11" s="4" t="n">
        <v>0</v>
      </c>
      <c r="M11" s="4" t="inlineStr"/>
      <c r="N11" s="4" t="n">
        <v>1</v>
      </c>
      <c r="O11" s="4" t="n">
        <v>1</v>
      </c>
      <c r="P11" s="4" t="inlineStr">
        <is>
          <t>https://tousu.sina.com.cn/complaint/view/17401620413/</t>
        </is>
      </c>
    </row>
    <row r="12">
      <c r="A12" s="4" t="inlineStr">
        <is>
          <t>17401610603</t>
        </is>
      </c>
      <c r="B12" s="4" t="inlineStr">
        <is>
          <t>飞鹤星飞帆奶粉冲泡出虫子！拒不依法赔偿，漠视婴幼儿安全</t>
        </is>
      </c>
      <c r="C12" s="4" t="inlineStr">
        <is>
          <t>质量安全</t>
        </is>
      </c>
      <c r="D12" s="4" t="inlineStr">
        <is>
          <t>异物/虫</t>
        </is>
      </c>
      <c r="E12" s="4" t="inlineStr">
        <is>
          <t>待人工复核</t>
        </is>
      </c>
      <c r="F12" s="4" t="inlineStr">
        <is>
          <t>质量安全</t>
        </is>
      </c>
      <c r="G12" s="4" t="inlineStr">
        <is>
          <t>虫</t>
        </is>
      </c>
      <c r="H12" s="4" t="inlineStr">
        <is>
          <t>质量安全</t>
        </is>
      </c>
      <c r="I12" s="4" t="inlineStr">
        <is>
          <t>质量安全</t>
        </is>
      </c>
      <c r="J12" s="4" t="inlineStr">
        <is>
          <t>冲调完成的奶液中清晰发现虫子异物</t>
        </is>
      </c>
      <c r="K12" s="4" t="n">
        <v>0</v>
      </c>
      <c r="L12" s="4" t="n">
        <v>1</v>
      </c>
      <c r="M12" s="4" t="inlineStr">
        <is>
          <t>质量安全类，需人工核实</t>
        </is>
      </c>
      <c r="N12" s="4" t="n">
        <v>1</v>
      </c>
      <c r="O12" s="4" t="n">
        <v>1</v>
      </c>
      <c r="P12" s="4" t="inlineStr">
        <is>
          <t>https://tousu.sina.com.cn/complaint/view/17401610603/</t>
        </is>
      </c>
    </row>
    <row r="13">
      <c r="A13" s="4" t="inlineStr">
        <is>
          <t>17401506340</t>
        </is>
      </c>
      <c r="B13" s="4" t="inlineStr">
        <is>
          <t>奶粉里发现虫子</t>
        </is>
      </c>
      <c r="C13" s="4" t="inlineStr">
        <is>
          <t>质量安全</t>
        </is>
      </c>
      <c r="D13" s="4" t="inlineStr">
        <is>
          <t>异物/虫</t>
        </is>
      </c>
      <c r="E13" s="4" t="inlineStr">
        <is>
          <t>待人工复核</t>
        </is>
      </c>
      <c r="F13" s="4" t="inlineStr">
        <is>
          <t>质量安全</t>
        </is>
      </c>
      <c r="G13" s="4" t="inlineStr">
        <is>
          <t>虫</t>
        </is>
      </c>
      <c r="H13" s="4" t="inlineStr">
        <is>
          <t>质量安全</t>
        </is>
      </c>
      <c r="I13" s="4" t="inlineStr">
        <is>
          <t>质量安全</t>
        </is>
      </c>
      <c r="J13" s="4" t="inlineStr">
        <is>
          <t>给孩子冲奶粉时发现里面有虫子</t>
        </is>
      </c>
      <c r="K13" s="4" t="n">
        <v>0</v>
      </c>
      <c r="L13" s="4" t="n">
        <v>1</v>
      </c>
      <c r="M13" s="4" t="inlineStr">
        <is>
          <t>质量安全类，需人工核实</t>
        </is>
      </c>
      <c r="N13" s="4" t="n">
        <v>1</v>
      </c>
      <c r="O13" s="4" t="n">
        <v>1</v>
      </c>
      <c r="P13" s="4" t="inlineStr">
        <is>
          <t>https://tousu.sina.com.cn/complaint/view/17401506340/</t>
        </is>
      </c>
    </row>
    <row r="14">
      <c r="A14" s="4" t="inlineStr">
        <is>
          <t>17401443731</t>
        </is>
      </c>
      <c r="B14" s="4" t="inlineStr">
        <is>
          <t>飞鹤星飞帆奶粉罐内有异物</t>
        </is>
      </c>
      <c r="C14" s="4" t="inlineStr">
        <is>
          <t>质量安全</t>
        </is>
      </c>
      <c r="D14" s="4" t="inlineStr">
        <is>
          <t>异物/虫</t>
        </is>
      </c>
      <c r="E14" s="4" t="inlineStr">
        <is>
          <t>待人工复核</t>
        </is>
      </c>
      <c r="F14" s="4" t="inlineStr">
        <is>
          <t>质量安全</t>
        </is>
      </c>
      <c r="G14" s="4" t="inlineStr">
        <is>
          <t>异物</t>
        </is>
      </c>
      <c r="H14" s="4" t="inlineStr">
        <is>
          <t>质量安全</t>
        </is>
      </c>
      <c r="I14" s="4" t="inlineStr">
        <is>
          <t>质量安全</t>
        </is>
      </c>
      <c r="J14" s="4" t="inlineStr">
        <is>
          <t>发现其中一罐奶粉罐内有异物</t>
        </is>
      </c>
      <c r="K14" s="4" t="n">
        <v>0</v>
      </c>
      <c r="L14" s="4" t="n">
        <v>1</v>
      </c>
      <c r="M14" s="4" t="inlineStr">
        <is>
          <t>质量安全类，需人工核实</t>
        </is>
      </c>
      <c r="N14" s="4" t="n">
        <v>1</v>
      </c>
      <c r="O14" s="4" t="n">
        <v>1</v>
      </c>
      <c r="P14" s="4" t="inlineStr">
        <is>
          <t>https://tousu.sina.com.cn/complaint/view/17401443731/</t>
        </is>
      </c>
    </row>
    <row r="15">
      <c r="A15" s="4" t="inlineStr">
        <is>
          <t>17401352501</t>
        </is>
      </c>
      <c r="B15" s="4" t="inlineStr">
        <is>
          <t>在飞鹤官方旗舰店买的奶粉吃出虫子，退货后商家赔偿推拖</t>
        </is>
      </c>
      <c r="C15" s="4" t="inlineStr">
        <is>
          <t>质量安全</t>
        </is>
      </c>
      <c r="D15" s="4" t="inlineStr">
        <is>
          <t>异物/虫</t>
        </is>
      </c>
      <c r="E15" s="4" t="inlineStr">
        <is>
          <t>待人工复核</t>
        </is>
      </c>
      <c r="F15" s="4" t="inlineStr">
        <is>
          <t>质量安全</t>
        </is>
      </c>
      <c r="G15" s="4" t="inlineStr">
        <is>
          <t>虫</t>
        </is>
      </c>
      <c r="H15" s="4" t="inlineStr">
        <is>
          <t>质量安全</t>
        </is>
      </c>
      <c r="I15" s="4" t="inlineStr">
        <is>
          <t>质量安全</t>
        </is>
      </c>
      <c r="J15" s="4" t="inlineStr">
        <is>
          <t>在奶粉罐内发现虫子</t>
        </is>
      </c>
      <c r="K15" s="4" t="n">
        <v>0</v>
      </c>
      <c r="L15" s="4" t="n">
        <v>1</v>
      </c>
      <c r="M15" s="4" t="inlineStr">
        <is>
          <t>质量安全类，需人工核实</t>
        </is>
      </c>
      <c r="N15" s="4" t="n">
        <v>1</v>
      </c>
      <c r="O15" s="4" t="n">
        <v>1</v>
      </c>
      <c r="P15" s="4" t="inlineStr">
        <is>
          <t>https://tousu.sina.com.cn/complaint/view/17401352501/</t>
        </is>
      </c>
    </row>
    <row r="16">
      <c r="A16" s="4" t="inlineStr">
        <is>
          <t>17401290214</t>
        </is>
      </c>
      <c r="B16" s="4" t="inlineStr">
        <is>
          <t>飞鹤官方旗舰店</t>
        </is>
      </c>
      <c r="C16" s="4" t="inlineStr">
        <is>
          <t>质量安全</t>
        </is>
      </c>
      <c r="D16" s="4" t="inlineStr">
        <is>
          <t>异物/虫</t>
        </is>
      </c>
      <c r="E16" s="4" t="inlineStr">
        <is>
          <t>待人工复核</t>
        </is>
      </c>
      <c r="F16" s="4" t="inlineStr">
        <is>
          <t>质量安全</t>
        </is>
      </c>
      <c r="G16" s="4" t="inlineStr">
        <is>
          <t>勺</t>
        </is>
      </c>
      <c r="H16" s="4" t="inlineStr">
        <is>
          <t>质量安全</t>
        </is>
      </c>
      <c r="I16" s="4" t="inlineStr">
        <is>
          <t>质量安全</t>
        </is>
      </c>
      <c r="J16" s="4" t="inlineStr">
        <is>
          <t>勺子上有不知名的黑色异物</t>
        </is>
      </c>
      <c r="K16" s="4" t="n">
        <v>0</v>
      </c>
      <c r="L16" s="4" t="n">
        <v>1</v>
      </c>
      <c r="M16" s="4" t="inlineStr">
        <is>
          <t>质量安全类，需人工核实</t>
        </is>
      </c>
      <c r="N16" s="4" t="n">
        <v>1</v>
      </c>
      <c r="O16" s="4" t="n">
        <v>1</v>
      </c>
      <c r="P16" s="4" t="inlineStr">
        <is>
          <t>https://tousu.sina.com.cn/complaint/view/17401290214/</t>
        </is>
      </c>
    </row>
    <row r="17">
      <c r="A17" s="4" t="inlineStr">
        <is>
          <t>17401285142</t>
        </is>
      </c>
      <c r="B17" s="4" t="inlineStr">
        <is>
          <t>飞鹤星飞帆 2 段喝出异物</t>
        </is>
      </c>
      <c r="C17" s="4" t="inlineStr">
        <is>
          <t>质量安全</t>
        </is>
      </c>
      <c r="D17" s="4" t="inlineStr">
        <is>
          <t>异物/虫</t>
        </is>
      </c>
      <c r="E17" s="4" t="inlineStr">
        <is>
          <t>待人工复核</t>
        </is>
      </c>
      <c r="F17" s="4" t="inlineStr">
        <is>
          <t>质量安全</t>
        </is>
      </c>
      <c r="G17" s="4" t="inlineStr">
        <is>
          <t>异物</t>
        </is>
      </c>
      <c r="H17" s="4" t="inlineStr">
        <is>
          <t>质量安全</t>
        </is>
      </c>
      <c r="I17" s="4" t="inlineStr">
        <is>
          <t>质量安全</t>
        </is>
      </c>
      <c r="J17" s="4" t="inlineStr">
        <is>
          <t>冲泡时发现奶粉内存在不明异物</t>
        </is>
      </c>
      <c r="K17" s="4" t="n">
        <v>0</v>
      </c>
      <c r="L17" s="4" t="n">
        <v>1</v>
      </c>
      <c r="M17" s="4" t="inlineStr">
        <is>
          <t>质量安全类，需人工核实</t>
        </is>
      </c>
      <c r="N17" s="4" t="n">
        <v>1</v>
      </c>
      <c r="O17" s="4" t="n">
        <v>1</v>
      </c>
      <c r="P17" s="4" t="inlineStr">
        <is>
          <t>https://tousu.sina.com.cn/complaint/view/17401285142/</t>
        </is>
      </c>
    </row>
    <row r="18">
      <c r="A18" s="4" t="inlineStr">
        <is>
          <t>17401080047</t>
        </is>
      </c>
      <c r="B18" s="4" t="inlineStr">
        <is>
          <t>飞鹤奶粉虚假宣传欺骗消费者下单</t>
        </is>
      </c>
      <c r="C18" s="4" t="inlineStr">
        <is>
          <t>活动权益</t>
        </is>
      </c>
      <c r="D18" s="4" t="inlineStr">
        <is>
          <t>赠品问题</t>
        </is>
      </c>
      <c r="E18" s="4" t="inlineStr">
        <is>
          <t>待人工复核</t>
        </is>
      </c>
      <c r="F18" s="4" t="inlineStr">
        <is>
          <t>活动权益</t>
        </is>
      </c>
      <c r="G18" s="4" t="inlineStr">
        <is>
          <t>赠品</t>
        </is>
      </c>
      <c r="H18" s="4" t="inlineStr">
        <is>
          <t>订单发货</t>
        </is>
      </c>
      <c r="I18" s="4" t="inlineStr">
        <is>
          <t>活动权益</t>
        </is>
      </c>
      <c r="J18" s="4" t="inlineStr">
        <is>
          <t>承诺的赠品不发货，多次协商无效</t>
        </is>
      </c>
      <c r="K18" s="4" t="n">
        <v>0</v>
      </c>
      <c r="L18" s="4" t="n">
        <v>0</v>
      </c>
      <c r="M18" s="4" t="inlineStr"/>
      <c r="N18" s="4" t="n">
        <v>1</v>
      </c>
      <c r="O18" s="4" t="n">
        <v>1</v>
      </c>
      <c r="P18" s="4" t="inlineStr">
        <is>
          <t>https://tousu.sina.com.cn/complaint/view/17401080047/</t>
        </is>
      </c>
    </row>
    <row r="19">
      <c r="A19" s="4" t="inlineStr">
        <is>
          <t>17400940389</t>
        </is>
      </c>
      <c r="B19" s="4" t="inlineStr">
        <is>
          <t>使用抖音平台优惠之后飞鹤母婴旗舰店已地址异常为由拒绝发货</t>
        </is>
      </c>
      <c r="C19" s="4" t="inlineStr">
        <is>
          <t>订单发货</t>
        </is>
      </c>
      <c r="D19" s="4" t="inlineStr">
        <is>
          <t>订单异常拒发</t>
        </is>
      </c>
      <c r="E19" s="4" t="inlineStr">
        <is>
          <t>待人工复核</t>
        </is>
      </c>
      <c r="F19" s="4" t="inlineStr">
        <is>
          <t>活动权益</t>
        </is>
      </c>
      <c r="G19" s="4" t="inlineStr">
        <is>
          <t>积分</t>
        </is>
      </c>
      <c r="H19" s="4" t="inlineStr">
        <is>
          <t>订单发货</t>
        </is>
      </c>
      <c r="I19" s="4" t="inlineStr">
        <is>
          <t>订单发货</t>
        </is>
      </c>
      <c r="J19" s="4" t="inlineStr">
        <is>
          <t>商家已地址异常为由拒绝发货</t>
        </is>
      </c>
      <c r="K19" s="4" t="n">
        <v>0</v>
      </c>
      <c r="L19" s="4" t="n">
        <v>1</v>
      </c>
      <c r="M19" s="4" t="inlineStr">
        <is>
          <t>拒发货与赠品问题并存</t>
        </is>
      </c>
      <c r="N19" s="4" t="n">
        <v>0</v>
      </c>
      <c r="O19" s="4" t="n">
        <v>1</v>
      </c>
      <c r="P19" s="4" t="inlineStr">
        <is>
          <t>https://tousu.sina.com.cn/complaint/view/17400940389/</t>
        </is>
      </c>
    </row>
    <row r="20">
      <c r="A20" s="4" t="inlineStr">
        <is>
          <t>17400916652</t>
        </is>
      </c>
      <c r="B20" s="4" t="inlineStr">
        <is>
          <t>飞鹤奶粉中有异物</t>
        </is>
      </c>
      <c r="C20" s="4" t="inlineStr">
        <is>
          <t>质量安全</t>
        </is>
      </c>
      <c r="D20" s="4" t="inlineStr">
        <is>
          <t>异物/虫</t>
        </is>
      </c>
      <c r="E20" s="4" t="inlineStr">
        <is>
          <t>待人工复核</t>
        </is>
      </c>
      <c r="F20" s="4" t="inlineStr">
        <is>
          <t>质量安全</t>
        </is>
      </c>
      <c r="G20" s="4" t="inlineStr">
        <is>
          <t>异物</t>
        </is>
      </c>
      <c r="H20" s="4" t="inlineStr">
        <is>
          <t>质量安全</t>
        </is>
      </c>
      <c r="I20" s="4" t="inlineStr">
        <is>
          <t>质量安全</t>
        </is>
      </c>
      <c r="J20" s="4" t="inlineStr">
        <is>
          <t>舀了两勺后发现多颗褐色状颗粒异物</t>
        </is>
      </c>
      <c r="K20" s="4" t="n">
        <v>0</v>
      </c>
      <c r="L20" s="4" t="n">
        <v>1</v>
      </c>
      <c r="M20" s="4" t="inlineStr">
        <is>
          <t>质量安全类，需人工核实</t>
        </is>
      </c>
      <c r="N20" s="4" t="n">
        <v>1</v>
      </c>
      <c r="O20" s="4" t="n">
        <v>1</v>
      </c>
      <c r="P20" s="4" t="inlineStr">
        <is>
          <t>https://tousu.sina.com.cn/complaint/view/17400916652/</t>
        </is>
      </c>
    </row>
    <row r="21">
      <c r="A21" s="4" t="inlineStr">
        <is>
          <t>17400909737</t>
        </is>
      </c>
      <c r="B21" s="4" t="inlineStr">
        <is>
          <t>飞鹤奶粉星非凡卓睿</t>
        </is>
      </c>
      <c r="C21" s="4" t="inlineStr">
        <is>
          <t>活动权益</t>
        </is>
      </c>
      <c r="D21" s="4" t="inlineStr">
        <is>
          <t>集罐不累计</t>
        </is>
      </c>
      <c r="E21" s="4" t="inlineStr">
        <is>
          <t>待人工复核</t>
        </is>
      </c>
      <c r="F21" s="4" t="inlineStr">
        <is>
          <t>活动权益</t>
        </is>
      </c>
      <c r="G21" s="4" t="inlineStr">
        <is>
          <t>扫码</t>
        </is>
      </c>
      <c r="H21" s="4" t="inlineStr">
        <is>
          <t>活动权益</t>
        </is>
      </c>
      <c r="I21" s="4" t="inlineStr">
        <is>
          <t>活动权益</t>
        </is>
      </c>
      <c r="J21" s="4" t="inlineStr">
        <is>
          <t>说扫码参加12送1的活动、到11了突然没有了</t>
        </is>
      </c>
      <c r="K21" s="4" t="n">
        <v>0</v>
      </c>
      <c r="L21" s="4" t="n">
        <v>0</v>
      </c>
      <c r="M21" s="4" t="inlineStr"/>
      <c r="N21" s="4" t="n">
        <v>1</v>
      </c>
      <c r="O21" s="4" t="n">
        <v>1</v>
      </c>
      <c r="P21" s="4" t="inlineStr">
        <is>
          <t>https://tousu.sina.com.cn/complaint/view/17400909737/</t>
        </is>
      </c>
    </row>
    <row r="22">
      <c r="A22" s="4" t="inlineStr">
        <is>
          <t>17400866530</t>
        </is>
      </c>
      <c r="B22" s="4" t="inlineStr">
        <is>
          <t>飞鹤未告知集罐需回购买地要求自行跨几百公里解决问题</t>
        </is>
      </c>
      <c r="C22" s="4" t="inlineStr">
        <is>
          <t>活动权益</t>
        </is>
      </c>
      <c r="D22" s="4" t="inlineStr">
        <is>
          <t>集罐不累计</t>
        </is>
      </c>
      <c r="E22" s="4" t="inlineStr">
        <is>
          <t>待人工复核</t>
        </is>
      </c>
      <c r="F22" s="4" t="inlineStr">
        <is>
          <t>活动权益</t>
        </is>
      </c>
      <c r="G22" s="4" t="inlineStr">
        <is>
          <t>集罐</t>
        </is>
      </c>
      <c r="H22" s="4" t="inlineStr">
        <is>
          <t>活动权益</t>
        </is>
      </c>
      <c r="I22" s="4" t="inlineStr">
        <is>
          <t>活动权益</t>
        </is>
      </c>
      <c r="J22" s="4" t="inlineStr">
        <is>
          <t>本人带孩子旅游回来扫码集罐，显示不成功</t>
        </is>
      </c>
      <c r="K22" s="4" t="n">
        <v>0</v>
      </c>
      <c r="L22" s="4" t="n">
        <v>0</v>
      </c>
      <c r="M22" s="4" t="inlineStr"/>
      <c r="N22" s="4" t="n">
        <v>1</v>
      </c>
      <c r="O22" s="4" t="n">
        <v>1</v>
      </c>
      <c r="P22" s="4" t="inlineStr">
        <is>
          <t>https://tousu.sina.com.cn/complaint/view/17400866530/</t>
        </is>
      </c>
    </row>
    <row r="23">
      <c r="A23" s="4" t="inlineStr">
        <is>
          <t>17400808678</t>
        </is>
      </c>
      <c r="B23" s="4" t="inlineStr">
        <is>
          <t>武汉爱优达商贸有限公司</t>
        </is>
      </c>
      <c r="C23" s="4" t="inlineStr">
        <is>
          <t>质量安全</t>
        </is>
      </c>
      <c r="D23" s="4" t="inlineStr">
        <is>
          <t>异物/虫</t>
        </is>
      </c>
      <c r="E23" s="4" t="inlineStr">
        <is>
          <t>待人工复核</t>
        </is>
      </c>
      <c r="F23" s="4" t="inlineStr">
        <is>
          <t>质量安全</t>
        </is>
      </c>
      <c r="G23" s="4" t="inlineStr">
        <is>
          <t>异物</t>
        </is>
      </c>
      <c r="H23" s="4" t="inlineStr">
        <is>
          <t>质量安全</t>
        </is>
      </c>
      <c r="I23" s="4" t="inlineStr">
        <is>
          <t>质量安全</t>
        </is>
      </c>
      <c r="J23" s="4" t="inlineStr">
        <is>
          <t>混入异物存在严重安全隐患</t>
        </is>
      </c>
      <c r="K23" s="4" t="n">
        <v>0</v>
      </c>
      <c r="L23" s="4" t="n">
        <v>1</v>
      </c>
      <c r="M23" s="4" t="inlineStr">
        <is>
          <t>质量安全类，需人工核实</t>
        </is>
      </c>
      <c r="N23" s="4" t="n">
        <v>1</v>
      </c>
      <c r="O23" s="4" t="n">
        <v>1</v>
      </c>
      <c r="P23" s="4" t="inlineStr">
        <is>
          <t>https://tousu.sina.com.cn/complaint/view/17400808678/</t>
        </is>
      </c>
    </row>
    <row r="24">
      <c r="A24" s="4" t="inlineStr">
        <is>
          <t>17400781382</t>
        </is>
      </c>
      <c r="B24" s="4" t="inlineStr">
        <is>
          <t>奶粉有异物</t>
        </is>
      </c>
      <c r="C24" s="4" t="inlineStr">
        <is>
          <t>质量安全</t>
        </is>
      </c>
      <c r="D24" s="4" t="inlineStr">
        <is>
          <t>异物/虫</t>
        </is>
      </c>
      <c r="E24" s="4" t="inlineStr">
        <is>
          <t>待人工复核</t>
        </is>
      </c>
      <c r="F24" s="4" t="inlineStr">
        <is>
          <t>质量安全</t>
        </is>
      </c>
      <c r="G24" s="4" t="inlineStr">
        <is>
          <t>异物</t>
        </is>
      </c>
      <c r="H24" s="4" t="inlineStr">
        <is>
          <t>质量安全</t>
        </is>
      </c>
      <c r="I24" s="4" t="inlineStr">
        <is>
          <t>质量安全</t>
        </is>
      </c>
      <c r="J24" s="4" t="inlineStr">
        <is>
          <t>开最后一桶发现有异物</t>
        </is>
      </c>
      <c r="K24" s="4" t="n">
        <v>0</v>
      </c>
      <c r="L24" s="4" t="n">
        <v>1</v>
      </c>
      <c r="M24" s="4" t="inlineStr">
        <is>
          <t>质量安全类，需人工核实</t>
        </is>
      </c>
      <c r="N24" s="4" t="n">
        <v>1</v>
      </c>
      <c r="O24" s="4" t="n">
        <v>1</v>
      </c>
      <c r="P24" s="4" t="inlineStr">
        <is>
          <t>https://tousu.sina.com.cn/complaint/view/17400781382/</t>
        </is>
      </c>
    </row>
    <row r="25">
      <c r="A25" s="4" t="inlineStr">
        <is>
          <t>17400743935</t>
        </is>
      </c>
      <c r="B25" s="4" t="inlineStr">
        <is>
          <t>抖音购飞鹤奶粉有怪味，商家推诿平台过期不理</t>
        </is>
      </c>
      <c r="C25" s="4" t="inlineStr">
        <is>
          <t>质量安全</t>
        </is>
      </c>
      <c r="D25" s="4" t="inlineStr">
        <is>
          <t>异味</t>
        </is>
      </c>
      <c r="E25" s="4" t="inlineStr">
        <is>
          <t>待人工复核</t>
        </is>
      </c>
      <c r="F25" s="4" t="inlineStr">
        <is>
          <t>质量安全</t>
        </is>
      </c>
      <c r="G25" s="4" t="inlineStr">
        <is>
          <t>怪味</t>
        </is>
      </c>
      <c r="H25" s="4" t="inlineStr">
        <is>
          <t>质量安全</t>
        </is>
      </c>
      <c r="I25" s="4" t="inlineStr">
        <is>
          <t>质量安全</t>
        </is>
      </c>
      <c r="J25" s="4" t="inlineStr">
        <is>
          <t>喝到第四罐的时候发现奶粉有味道了</t>
        </is>
      </c>
      <c r="K25" s="4" t="n">
        <v>0</v>
      </c>
      <c r="L25" s="4" t="n">
        <v>1</v>
      </c>
      <c r="M25" s="4" t="inlineStr">
        <is>
          <t>质量安全类，需人工核实</t>
        </is>
      </c>
      <c r="N25" s="4" t="n">
        <v>1</v>
      </c>
      <c r="O25" s="4" t="n">
        <v>1</v>
      </c>
      <c r="P25" s="4" t="inlineStr">
        <is>
          <t>https://tousu.sina.com.cn/complaint/view/17400743935/</t>
        </is>
      </c>
    </row>
    <row r="26">
      <c r="A26" s="4" t="inlineStr">
        <is>
          <t>17400675670</t>
        </is>
      </c>
      <c r="B26" s="4" t="inlineStr">
        <is>
          <t>飞鹤奶粉有异物</t>
        </is>
      </c>
      <c r="C26" s="4" t="inlineStr">
        <is>
          <t>质量安全</t>
        </is>
      </c>
      <c r="D26" s="4" t="inlineStr">
        <is>
          <t>异物/虫</t>
        </is>
      </c>
      <c r="E26" s="4" t="inlineStr">
        <is>
          <t>待人工复核</t>
        </is>
      </c>
      <c r="F26" s="4" t="inlineStr">
        <is>
          <t>质量安全</t>
        </is>
      </c>
      <c r="G26" s="4" t="inlineStr">
        <is>
          <t>异物</t>
        </is>
      </c>
      <c r="H26" s="4" t="inlineStr">
        <is>
          <t>质量安全</t>
        </is>
      </c>
      <c r="I26" s="4" t="inlineStr">
        <is>
          <t>质量安全</t>
        </is>
      </c>
      <c r="J26" s="4" t="inlineStr">
        <is>
          <t>打开一罐奶粉中发现异物，絮状物</t>
        </is>
      </c>
      <c r="K26" s="4" t="n">
        <v>0</v>
      </c>
      <c r="L26" s="4" t="n">
        <v>1</v>
      </c>
      <c r="M26" s="4" t="inlineStr">
        <is>
          <t>质量安全类，需人工核实</t>
        </is>
      </c>
      <c r="N26" s="4" t="n">
        <v>1</v>
      </c>
      <c r="O26" s="4" t="n">
        <v>1</v>
      </c>
      <c r="P26" s="4" t="inlineStr">
        <is>
          <t>https://tousu.sina.com.cn/complaint/view/17400675670/</t>
        </is>
      </c>
    </row>
    <row r="27">
      <c r="A27" s="4" t="inlineStr">
        <is>
          <t>17400551300</t>
        </is>
      </c>
      <c r="B27" s="4" t="inlineStr">
        <is>
          <t>飞鹤卓睿奶粉致宝宝拉稀</t>
        </is>
      </c>
      <c r="C27" s="4" t="inlineStr">
        <is>
          <t>质量安全</t>
        </is>
      </c>
      <c r="D27" s="4" t="inlineStr">
        <is>
          <t>食用后不适</t>
        </is>
      </c>
      <c r="E27" s="4" t="inlineStr">
        <is>
          <t>待人工复核</t>
        </is>
      </c>
      <c r="F27" s="4" t="inlineStr">
        <is>
          <t>质量安全</t>
        </is>
      </c>
      <c r="G27" s="4" t="inlineStr">
        <is>
          <t>拉稀</t>
        </is>
      </c>
      <c r="H27" s="4" t="inlineStr">
        <is>
          <t>质量安全</t>
        </is>
      </c>
      <c r="I27" s="4" t="inlineStr">
        <is>
          <t>质量安全</t>
        </is>
      </c>
      <c r="J27" s="4" t="inlineStr">
        <is>
          <t>宝宝吃完后马上拉稀且拉出来的是奶水状</t>
        </is>
      </c>
      <c r="K27" s="4" t="n">
        <v>1</v>
      </c>
      <c r="L27" s="4" t="n">
        <v>1</v>
      </c>
      <c r="M27" s="4" t="inlineStr">
        <is>
          <t>食用后出现腹泻症状</t>
        </is>
      </c>
      <c r="N27" s="4" t="n">
        <v>1</v>
      </c>
      <c r="O27" s="4" t="n">
        <v>1</v>
      </c>
      <c r="P27" s="4" t="inlineStr">
        <is>
          <t>https://tousu.sina.com.cn/complaint/view/17400551300/</t>
        </is>
      </c>
    </row>
    <row r="28">
      <c r="A28" s="4" t="inlineStr">
        <is>
          <t>17400135464</t>
        </is>
      </c>
      <c r="B28" s="4" t="inlineStr">
        <is>
          <t>河南省信阳市罗山县维尼贝贝宝城店</t>
        </is>
      </c>
      <c r="C28" s="4" t="inlineStr">
        <is>
          <t>质量安全</t>
        </is>
      </c>
      <c r="D28" s="4" t="inlineStr">
        <is>
          <t>异物/虫</t>
        </is>
      </c>
      <c r="E28" s="4" t="inlineStr">
        <is>
          <t>待人工复核</t>
        </is>
      </c>
      <c r="F28" s="4" t="inlineStr">
        <is>
          <t>质量安全</t>
        </is>
      </c>
      <c r="G28" s="4" t="inlineStr">
        <is>
          <t>异物</t>
        </is>
      </c>
      <c r="H28" s="4" t="inlineStr">
        <is>
          <t>质量安全</t>
        </is>
      </c>
      <c r="I28" s="4" t="inlineStr">
        <is>
          <t>质量安全</t>
        </is>
      </c>
      <c r="J28" s="4" t="inlineStr">
        <is>
          <t>发现奶粉罐壁粘上不明物体，食品异物</t>
        </is>
      </c>
      <c r="K28" s="4" t="n">
        <v>0</v>
      </c>
      <c r="L28" s="4" t="n">
        <v>1</v>
      </c>
      <c r="M28" s="4" t="inlineStr">
        <is>
          <t>质量安全类，需人工核实</t>
        </is>
      </c>
      <c r="N28" s="4" t="n">
        <v>1</v>
      </c>
      <c r="O28" s="4" t="n">
        <v>1</v>
      </c>
      <c r="P28" s="4" t="inlineStr">
        <is>
          <t>https://tousu.sina.com.cn/complaint/view/17400135464/</t>
        </is>
      </c>
    </row>
    <row r="29">
      <c r="A29" s="4" t="inlineStr">
        <is>
          <t>17400531228</t>
        </is>
      </c>
      <c r="B29" s="4" t="inlineStr">
        <is>
          <t>淘宝飞鹤官方旗舰店虚假宣传买一赠一活动</t>
        </is>
      </c>
      <c r="C29" s="4" t="inlineStr">
        <is>
          <t>活动权益</t>
        </is>
      </c>
      <c r="D29" s="4" t="inlineStr">
        <is>
          <t>扫码手机号/账号</t>
        </is>
      </c>
      <c r="E29" s="4" t="inlineStr">
        <is>
          <t>待人工复核</t>
        </is>
      </c>
      <c r="F29" s="4" t="inlineStr">
        <is>
          <t>活动权益</t>
        </is>
      </c>
      <c r="G29" s="4" t="inlineStr">
        <is>
          <t>买一赠一</t>
        </is>
      </c>
      <c r="H29" s="4" t="inlineStr">
        <is>
          <t>活动权益</t>
        </is>
      </c>
      <c r="I29" s="4" t="inlineStr">
        <is>
          <t>活动权益</t>
        </is>
      </c>
      <c r="J29" s="4" t="inlineStr">
        <is>
          <t>并未提前告知扫码手机号需和报名资料手机号相同</t>
        </is>
      </c>
      <c r="K29" s="4" t="n">
        <v>0</v>
      </c>
      <c r="L29" s="4" t="n">
        <v>0</v>
      </c>
      <c r="M29" s="4" t="inlineStr"/>
      <c r="N29" s="4" t="n">
        <v>1</v>
      </c>
      <c r="O29" s="4" t="n">
        <v>1</v>
      </c>
      <c r="P29" s="4" t="inlineStr">
        <is>
          <t>https://tousu.sina.com.cn/complaint/view/17400531228/</t>
        </is>
      </c>
    </row>
    <row r="30">
      <c r="A30" s="4" t="inlineStr">
        <is>
          <t>17400496529</t>
        </is>
      </c>
      <c r="B30" s="4" t="inlineStr">
        <is>
          <t>乐友飞鹤奶粉有异物，售后诬消费者，盼真相给说法</t>
        </is>
      </c>
      <c r="C30" s="4" t="inlineStr">
        <is>
          <t>质量安全</t>
        </is>
      </c>
      <c r="D30" s="4" t="inlineStr">
        <is>
          <t>异物/虫</t>
        </is>
      </c>
      <c r="E30" s="4" t="inlineStr">
        <is>
          <t>待人工复核</t>
        </is>
      </c>
      <c r="F30" s="4" t="inlineStr">
        <is>
          <t>质量安全</t>
        </is>
      </c>
      <c r="G30" s="4" t="inlineStr">
        <is>
          <t>异物</t>
        </is>
      </c>
      <c r="H30" s="4" t="inlineStr">
        <is>
          <t>质量安全</t>
        </is>
      </c>
      <c r="I30" s="4" t="inlineStr">
        <is>
          <t>质量安全</t>
        </is>
      </c>
      <c r="J30" s="4" t="inlineStr">
        <is>
          <t>发现了红色硬块异物</t>
        </is>
      </c>
      <c r="K30" s="4" t="n">
        <v>0</v>
      </c>
      <c r="L30" s="4" t="n">
        <v>1</v>
      </c>
      <c r="M30" s="4" t="inlineStr">
        <is>
          <t>质量安全类，需人工核实</t>
        </is>
      </c>
      <c r="N30" s="4" t="n">
        <v>1</v>
      </c>
      <c r="O30" s="4" t="n">
        <v>1</v>
      </c>
      <c r="P30" s="4" t="inlineStr">
        <is>
          <t>https://tousu.sina.com.cn/complaint/view/17400496529/</t>
        </is>
      </c>
    </row>
    <row r="31">
      <c r="A31" s="4" t="inlineStr">
        <is>
          <t>17400397840</t>
        </is>
      </c>
      <c r="B31" s="4" t="inlineStr">
        <is>
          <t>飞鹤星飞帆卓睿官方旗舰店199购买权益卡，复购商品享受权益，复购不发货</t>
        </is>
      </c>
      <c r="C31" s="4" t="inlineStr">
        <is>
          <t>订单发货</t>
        </is>
      </c>
      <c r="D31" s="4" t="inlineStr">
        <is>
          <t>订单异常拒发</t>
        </is>
      </c>
      <c r="E31" s="4" t="inlineStr">
        <is>
          <t>待人工复核</t>
        </is>
      </c>
      <c r="F31" s="4" t="inlineStr">
        <is>
          <t>活动权益</t>
        </is>
      </c>
      <c r="G31" s="4" t="inlineStr">
        <is>
          <t>权益</t>
        </is>
      </c>
      <c r="H31" s="4" t="inlineStr">
        <is>
          <t>订单发货</t>
        </is>
      </c>
      <c r="I31" s="4" t="inlineStr">
        <is>
          <t>订单发货</t>
        </is>
      </c>
      <c r="J31" s="4" t="inlineStr">
        <is>
          <t>回购的商品，商家拒绝发货，说订单异常</t>
        </is>
      </c>
      <c r="K31" s="4" t="n">
        <v>0</v>
      </c>
      <c r="L31" s="4" t="n">
        <v>1</v>
      </c>
      <c r="M31" s="4" t="inlineStr">
        <is>
          <t>权益卡与拒发货问题并存</t>
        </is>
      </c>
      <c r="N31" s="4" t="n">
        <v>0</v>
      </c>
      <c r="O31" s="4" t="n">
        <v>1</v>
      </c>
      <c r="P31" s="4" t="inlineStr">
        <is>
          <t>https://tousu.sina.com.cn/complaint/view/17400397840/</t>
        </is>
      </c>
    </row>
    <row r="32">
      <c r="A32" s="4" t="inlineStr">
        <is>
          <t>17400368536</t>
        </is>
      </c>
      <c r="B32" s="4" t="inlineStr">
        <is>
          <t>飞鹤奶粉存在死虫子</t>
        </is>
      </c>
      <c r="C32" s="4" t="inlineStr">
        <is>
          <t>质量安全</t>
        </is>
      </c>
      <c r="D32" s="4" t="inlineStr">
        <is>
          <t>异物/虫</t>
        </is>
      </c>
      <c r="E32" s="4" t="inlineStr">
        <is>
          <t>待人工复核</t>
        </is>
      </c>
      <c r="F32" s="4" t="inlineStr">
        <is>
          <t>质量安全</t>
        </is>
      </c>
      <c r="G32" s="4" t="inlineStr">
        <is>
          <t>虫</t>
        </is>
      </c>
      <c r="H32" s="4" t="inlineStr">
        <is>
          <t>质量安全</t>
        </is>
      </c>
      <c r="I32" s="4" t="inlineStr">
        <is>
          <t>质量安全</t>
        </is>
      </c>
      <c r="J32" s="4" t="inlineStr">
        <is>
          <t>其中一听在冲调中出现死虫子</t>
        </is>
      </c>
      <c r="K32" s="4" t="n">
        <v>0</v>
      </c>
      <c r="L32" s="4" t="n">
        <v>1</v>
      </c>
      <c r="M32" s="4" t="inlineStr">
        <is>
          <t>质量安全类，需人工核实</t>
        </is>
      </c>
      <c r="N32" s="4" t="n">
        <v>1</v>
      </c>
      <c r="O32" s="4" t="n">
        <v>1</v>
      </c>
      <c r="P32" s="4" t="inlineStr">
        <is>
          <t>https://tousu.sina.com.cn/complaint/view/17400368536/</t>
        </is>
      </c>
    </row>
    <row r="33">
      <c r="A33" s="4" t="inlineStr">
        <is>
          <t>17400367912</t>
        </is>
      </c>
      <c r="B33" s="4" t="inlineStr">
        <is>
          <t>飞鹤虚假礼赠承诺，多次推脱不认账，求讨回应得</t>
        </is>
      </c>
      <c r="C33" s="4" t="inlineStr">
        <is>
          <t>活动权益</t>
        </is>
      </c>
      <c r="D33" s="4" t="inlineStr">
        <is>
          <t>赠品问题</t>
        </is>
      </c>
      <c r="E33" s="4" t="inlineStr">
        <is>
          <t>待人工复核</t>
        </is>
      </c>
      <c r="F33" s="4" t="inlineStr">
        <is>
          <t>活动权益</t>
        </is>
      </c>
      <c r="G33" s="4" t="inlineStr">
        <is>
          <t>礼赠</t>
        </is>
      </c>
      <c r="H33" s="4" t="inlineStr">
        <is>
          <t>活动权益</t>
        </is>
      </c>
      <c r="I33" s="4" t="inlineStr">
        <is>
          <t>活动权益</t>
        </is>
      </c>
      <c r="J33" s="4" t="inlineStr">
        <is>
          <t>飞鹤虚假礼赠承诺，多次推脱不认账</t>
        </is>
      </c>
      <c r="K33" s="4" t="n">
        <v>0</v>
      </c>
      <c r="L33" s="4" t="n">
        <v>0</v>
      </c>
      <c r="M33" s="4" t="inlineStr"/>
      <c r="N33" s="4" t="n">
        <v>1</v>
      </c>
      <c r="O33" s="4" t="n">
        <v>1</v>
      </c>
      <c r="P33" s="4" t="inlineStr">
        <is>
          <t>https://tousu.sina.com.cn/complaint/view/17400367912/</t>
        </is>
      </c>
    </row>
    <row r="34">
      <c r="A34" s="4" t="inlineStr">
        <is>
          <t>17400304643</t>
        </is>
      </c>
      <c r="B34" s="4" t="inlineStr">
        <is>
          <t>淘宝网百亿补贴品牌优选超时不发货冷处理对待消费者</t>
        </is>
      </c>
      <c r="C34" s="4" t="inlineStr">
        <is>
          <t>订单发货</t>
        </is>
      </c>
      <c r="D34" s="4" t="inlineStr">
        <is>
          <t>超时未发货</t>
        </is>
      </c>
      <c r="E34" s="4" t="inlineStr">
        <is>
          <t>待人工复核</t>
        </is>
      </c>
      <c r="F34" s="4" t="inlineStr">
        <is>
          <t>活动权益</t>
        </is>
      </c>
      <c r="G34" s="4" t="inlineStr">
        <is>
          <t>补贴</t>
        </is>
      </c>
      <c r="H34" s="4" t="inlineStr">
        <is>
          <t>订单发货</t>
        </is>
      </c>
      <c r="I34" s="4" t="inlineStr">
        <is>
          <t>订单发货</t>
        </is>
      </c>
      <c r="J34" s="4" t="inlineStr">
        <is>
          <t>下单时卖家承诺7月16日发货，截止至今卖家仍然不发货</t>
        </is>
      </c>
      <c r="K34" s="4" t="n">
        <v>0</v>
      </c>
      <c r="L34" s="4" t="n">
        <v>0</v>
      </c>
      <c r="M34" s="4" t="inlineStr"/>
      <c r="N34" s="4" t="n">
        <v>0</v>
      </c>
      <c r="O34" s="4" t="n">
        <v>1</v>
      </c>
      <c r="P34" s="4" t="inlineStr">
        <is>
          <t>https://tousu.sina.com.cn/complaint/view/17400304643/</t>
        </is>
      </c>
    </row>
    <row r="35">
      <c r="A35" s="4" t="inlineStr">
        <is>
          <t>17400293346</t>
        </is>
      </c>
      <c r="B35" s="4" t="inlineStr">
        <is>
          <t>飞鹤奶粉商家虚假宣传，欺诈消费者</t>
        </is>
      </c>
      <c r="C35" s="4" t="inlineStr">
        <is>
          <t>活动权益</t>
        </is>
      </c>
      <c r="D35" s="4" t="inlineStr">
        <is>
          <t>赠品问题</t>
        </is>
      </c>
      <c r="E35" s="4" t="inlineStr">
        <is>
          <t>待人工复核</t>
        </is>
      </c>
      <c r="F35" s="4" t="inlineStr">
        <is>
          <t>活动权益</t>
        </is>
      </c>
      <c r="G35" s="4" t="inlineStr">
        <is>
          <t>赠品</t>
        </is>
      </c>
      <c r="H35" s="4" t="inlineStr">
        <is>
          <t>订单发货</t>
        </is>
      </c>
      <c r="I35" s="4" t="inlineStr">
        <is>
          <t>活动权益</t>
        </is>
      </c>
      <c r="J35" s="4" t="inlineStr">
        <is>
          <t>事后商家拒发赠品，说是实付金额未达标</t>
        </is>
      </c>
      <c r="K35" s="4" t="n">
        <v>0</v>
      </c>
      <c r="L35" s="4" t="n">
        <v>0</v>
      </c>
      <c r="M35" s="4" t="inlineStr"/>
      <c r="N35" s="4" t="n">
        <v>1</v>
      </c>
      <c r="O35" s="4" t="n">
        <v>1</v>
      </c>
      <c r="P35" s="4" t="inlineStr">
        <is>
          <t>https://tousu.sina.com.cn/complaint/view/17400293346/</t>
        </is>
      </c>
    </row>
    <row r="36">
      <c r="A36" s="4" t="inlineStr">
        <is>
          <t>17400267151</t>
        </is>
      </c>
      <c r="B36" s="4" t="inlineStr">
        <is>
          <t>产品包装上承诺的积分拒不发放</t>
        </is>
      </c>
      <c r="C36" s="4" t="inlineStr">
        <is>
          <t>活动权益</t>
        </is>
      </c>
      <c r="D36" s="4" t="inlineStr">
        <is>
          <t>积分未到账</t>
        </is>
      </c>
      <c r="E36" s="4" t="inlineStr">
        <is>
          <t>待人工复核</t>
        </is>
      </c>
      <c r="F36" s="4" t="inlineStr">
        <is>
          <t>活动权益</t>
        </is>
      </c>
      <c r="G36" s="4" t="inlineStr">
        <is>
          <t>积分</t>
        </is>
      </c>
      <c r="H36" s="4" t="inlineStr">
        <is>
          <t>活动权益</t>
        </is>
      </c>
      <c r="I36" s="4" t="inlineStr">
        <is>
          <t>活动权益</t>
        </is>
      </c>
      <c r="J36" s="4" t="inlineStr">
        <is>
          <t>产品包装上承诺的积分拒不发放</t>
        </is>
      </c>
      <c r="K36" s="4" t="n">
        <v>0</v>
      </c>
      <c r="L36" s="4" t="n">
        <v>0</v>
      </c>
      <c r="M36" s="4" t="inlineStr"/>
      <c r="N36" s="4" t="n">
        <v>1</v>
      </c>
      <c r="O36" s="4" t="n">
        <v>1</v>
      </c>
      <c r="P36" s="4" t="inlineStr">
        <is>
          <t>https://tousu.sina.com.cn/complaint/view/17400267151/</t>
        </is>
      </c>
    </row>
    <row r="37">
      <c r="A37" s="4" t="inlineStr">
        <is>
          <t>17400228971</t>
        </is>
      </c>
      <c r="B37" s="4" t="inlineStr">
        <is>
          <t>骗人的</t>
        </is>
      </c>
      <c r="C37" s="4" t="inlineStr">
        <is>
          <t>活动权益</t>
        </is>
      </c>
      <c r="D37" s="4" t="inlineStr">
        <is>
          <t>活动过期/规则未告知</t>
        </is>
      </c>
      <c r="E37" s="4" t="inlineStr">
        <is>
          <t>待人工复核</t>
        </is>
      </c>
      <c r="F37" s="4" t="inlineStr">
        <is>
          <t>质量安全</t>
        </is>
      </c>
      <c r="G37" s="4" t="inlineStr">
        <is>
          <t>拉肚子</t>
        </is>
      </c>
      <c r="H37" s="4" t="inlineStr">
        <is>
          <t>质量安全</t>
        </is>
      </c>
      <c r="I37" s="4" t="inlineStr">
        <is>
          <t>活动权益</t>
        </is>
      </c>
      <c r="J37" s="4" t="inlineStr">
        <is>
          <t>商家讲现在不能扫码了，之前都讲可以的</t>
        </is>
      </c>
      <c r="K37" s="4" t="n">
        <v>1</v>
      </c>
      <c r="L37" s="4" t="n">
        <v>1</v>
      </c>
      <c r="M37" s="4" t="inlineStr">
        <is>
          <t>有身体症状且多问题并存</t>
        </is>
      </c>
      <c r="N37" s="4" t="n">
        <v>0</v>
      </c>
      <c r="O37" s="4" t="n">
        <v>1</v>
      </c>
      <c r="P37" s="4" t="inlineStr">
        <is>
          <t>https://tousu.sina.com.cn/complaint/view/17400228971/</t>
        </is>
      </c>
    </row>
    <row r="38">
      <c r="A38" s="4" t="inlineStr">
        <is>
          <t>17400167344</t>
        </is>
      </c>
      <c r="B38" s="4" t="inlineStr">
        <is>
          <t>飞鹤隐瞒活动规则，霸王条款拒绝补录集罐数量</t>
        </is>
      </c>
      <c r="C38" s="4" t="inlineStr">
        <is>
          <t>活动权益</t>
        </is>
      </c>
      <c r="D38" s="4" t="inlineStr">
        <is>
          <t>集罐不累计</t>
        </is>
      </c>
      <c r="E38" s="4" t="inlineStr">
        <is>
          <t>待人工复核</t>
        </is>
      </c>
      <c r="F38" s="4" t="inlineStr">
        <is>
          <t>活动权益</t>
        </is>
      </c>
      <c r="G38" s="4" t="inlineStr">
        <is>
          <t>活动</t>
        </is>
      </c>
      <c r="H38" s="4" t="inlineStr">
        <is>
          <t>活动权益</t>
        </is>
      </c>
      <c r="I38" s="4" t="inlineStr">
        <is>
          <t>活动权益</t>
        </is>
      </c>
      <c r="J38" s="4" t="inlineStr">
        <is>
          <t>其中5罐仅计入积分、不统计集罐数量</t>
        </is>
      </c>
      <c r="K38" s="4" t="n">
        <v>0</v>
      </c>
      <c r="L38" s="4" t="n">
        <v>0</v>
      </c>
      <c r="M38" s="4" t="inlineStr"/>
      <c r="N38" s="4" t="n">
        <v>1</v>
      </c>
      <c r="O38" s="4" t="n">
        <v>1</v>
      </c>
      <c r="P38" s="4" t="inlineStr">
        <is>
          <t>https://tousu.sina.com.cn/complaint/view/17400167344/</t>
        </is>
      </c>
    </row>
    <row r="39">
      <c r="A39" s="4" t="inlineStr">
        <is>
          <t>17399898918</t>
        </is>
      </c>
      <c r="B39" s="4" t="inlineStr">
        <is>
          <t>飞鹤奶粉一段奶粉罐里配二段奶粉勺！谋财害命！</t>
        </is>
      </c>
      <c r="C39" s="4" t="inlineStr">
        <is>
          <t>质量安全</t>
        </is>
      </c>
      <c r="D39" s="4" t="inlineStr">
        <is>
          <t>量勺错配</t>
        </is>
      </c>
      <c r="E39" s="4" t="inlineStr">
        <is>
          <t>待人工复核</t>
        </is>
      </c>
      <c r="F39" s="4" t="inlineStr">
        <is>
          <t>质量安全</t>
        </is>
      </c>
      <c r="G39" s="4" t="inlineStr">
        <is>
          <t>勺</t>
        </is>
      </c>
      <c r="H39" s="4" t="inlineStr">
        <is>
          <t>质量安全</t>
        </is>
      </c>
      <c r="I39" s="4" t="inlineStr">
        <is>
          <t>质量安全</t>
        </is>
      </c>
      <c r="J39" s="4" t="inlineStr">
        <is>
          <t>奶粉出厂罐内错误放置二段黄色大勺</t>
        </is>
      </c>
      <c r="K39" s="4" t="n">
        <v>1</v>
      </c>
      <c r="L39" s="4" t="n">
        <v>1</v>
      </c>
      <c r="M39" s="4" t="inlineStr">
        <is>
          <t>量勺错配且婴儿出现症状</t>
        </is>
      </c>
      <c r="N39" s="4" t="n">
        <v>1</v>
      </c>
      <c r="O39" s="4" t="n">
        <v>1</v>
      </c>
      <c r="P39" s="4" t="inlineStr">
        <is>
          <t>https://tousu.sina.com.cn/complaint/view/17399898918/</t>
        </is>
      </c>
    </row>
    <row r="40">
      <c r="A40" s="4" t="inlineStr">
        <is>
          <t>17399894158</t>
        </is>
      </c>
      <c r="B40" s="4" t="inlineStr">
        <is>
          <t>飞鹤卓睿集罐限制多，客服处理方式引不满求解决</t>
        </is>
      </c>
      <c r="C40" s="4" t="inlineStr">
        <is>
          <t>活动权益</t>
        </is>
      </c>
      <c r="D40" s="4" t="inlineStr">
        <is>
          <t>集罐不累计</t>
        </is>
      </c>
      <c r="E40" s="4" t="inlineStr">
        <is>
          <t>待人工复核</t>
        </is>
      </c>
      <c r="F40" s="4" t="inlineStr">
        <is>
          <t>活动权益</t>
        </is>
      </c>
      <c r="G40" s="4" t="inlineStr">
        <is>
          <t>集罐</t>
        </is>
      </c>
      <c r="H40" s="4" t="inlineStr">
        <is>
          <t>活动权益</t>
        </is>
      </c>
      <c r="I40" s="4" t="inlineStr">
        <is>
          <t>活动权益</t>
        </is>
      </c>
      <c r="J40" s="4" t="inlineStr">
        <is>
          <t>扫了五罐都没有记录只有积分</t>
        </is>
      </c>
      <c r="K40" s="4" t="n">
        <v>0</v>
      </c>
      <c r="L40" s="4" t="n">
        <v>0</v>
      </c>
      <c r="M40" s="4" t="inlineStr"/>
      <c r="N40" s="4" t="n">
        <v>1</v>
      </c>
      <c r="O40" s="4" t="n">
        <v>1</v>
      </c>
      <c r="P40" s="4" t="inlineStr">
        <is>
          <t>https://tousu.sina.com.cn/complaint/view/17399894158/</t>
        </is>
      </c>
    </row>
    <row r="41">
      <c r="A41" s="4" t="inlineStr">
        <is>
          <t>17399842503</t>
        </is>
      </c>
      <c r="B41" s="4" t="inlineStr">
        <is>
          <t>飞鹤星飞帆集罐遇阻，未出库却售卖，望解决保障权益</t>
        </is>
      </c>
      <c r="C41" s="4" t="inlineStr">
        <is>
          <t>活动权益</t>
        </is>
      </c>
      <c r="D41" s="4" t="inlineStr">
        <is>
          <t>集罐不累计</t>
        </is>
      </c>
      <c r="E41" s="4" t="inlineStr">
        <is>
          <t>待人工复核</t>
        </is>
      </c>
      <c r="F41" s="4" t="inlineStr">
        <is>
          <t>活动权益</t>
        </is>
      </c>
      <c r="G41" s="4" t="inlineStr">
        <is>
          <t>集罐</t>
        </is>
      </c>
      <c r="H41" s="4" t="inlineStr">
        <is>
          <t>活动权益</t>
        </is>
      </c>
      <c r="I41" s="4" t="inlineStr">
        <is>
          <t>活动权益</t>
        </is>
      </c>
      <c r="J41" s="4" t="inlineStr">
        <is>
          <t>扫码显示扫码产品超出活动范围</t>
        </is>
      </c>
      <c r="K41" s="4" t="n">
        <v>0</v>
      </c>
      <c r="L41" s="4" t="n">
        <v>0</v>
      </c>
      <c r="M41" s="4" t="inlineStr"/>
      <c r="N41" s="4" t="n">
        <v>1</v>
      </c>
      <c r="O41" s="4" t="n">
        <v>1</v>
      </c>
      <c r="P41" s="4" t="inlineStr">
        <is>
          <t>https://tousu.sina.com.cn/complaint/view/17399842503/</t>
        </is>
      </c>
    </row>
    <row r="42">
      <c r="A42" s="4" t="inlineStr">
        <is>
          <t>17399835541</t>
        </is>
      </c>
      <c r="B42" s="4" t="inlineStr">
        <is>
          <t>奶粉吃出虫子</t>
        </is>
      </c>
      <c r="C42" s="4" t="inlineStr">
        <is>
          <t>质量安全</t>
        </is>
      </c>
      <c r="D42" s="4" t="inlineStr">
        <is>
          <t>异物/虫</t>
        </is>
      </c>
      <c r="E42" s="4" t="inlineStr">
        <is>
          <t>待人工复核</t>
        </is>
      </c>
      <c r="F42" s="4" t="inlineStr">
        <is>
          <t>质量安全</t>
        </is>
      </c>
      <c r="G42" s="4" t="inlineStr">
        <is>
          <t>虫</t>
        </is>
      </c>
      <c r="H42" s="4" t="inlineStr">
        <is>
          <t>质量安全</t>
        </is>
      </c>
      <c r="I42" s="4" t="inlineStr">
        <is>
          <t>质量安全</t>
        </is>
      </c>
      <c r="J42" s="4" t="inlineStr">
        <is>
          <t>奶粉吃到中后端发现有一个虫子</t>
        </is>
      </c>
      <c r="K42" s="4" t="n">
        <v>1</v>
      </c>
      <c r="L42" s="4" t="n">
        <v>1</v>
      </c>
      <c r="M42" s="4" t="inlineStr">
        <is>
          <t>异物且婴儿出现吐奶症状</t>
        </is>
      </c>
      <c r="N42" s="4" t="n">
        <v>1</v>
      </c>
      <c r="O42" s="4" t="n">
        <v>1</v>
      </c>
      <c r="P42" s="4" t="inlineStr">
        <is>
          <t>https://tousu.sina.com.cn/complaint/view/17399835541/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2" customWidth="1" min="3" max="3"/>
    <col width="30" customWidth="1" min="4" max="4"/>
    <col width="12" customWidth="1" min="5" max="5"/>
    <col width="16" customWidth="1" min="6" max="6"/>
    <col width="14" customWidth="1" min="7" max="7"/>
  </cols>
  <sheetData>
    <row r="1">
      <c r="A1" s="3" t="inlineStr">
        <is>
          <t>方法</t>
        </is>
      </c>
      <c r="B1" s="3" t="inlineStr">
        <is>
          <t>类别与参考一致</t>
        </is>
      </c>
      <c r="C1" s="3" t="inlineStr">
        <is>
          <t>质量安全漏判</t>
        </is>
      </c>
      <c r="D1" s="3" t="inlineStr">
        <is>
          <t>质量安全误判</t>
        </is>
      </c>
      <c r="E1" s="3" t="inlineStr">
        <is>
          <t>健康症状漏判</t>
        </is>
      </c>
      <c r="F1" s="3" t="inlineStr">
        <is>
          <t>需复核与参考一致</t>
        </is>
      </c>
      <c r="G1" s="3" t="inlineStr">
        <is>
          <t>标记需复核条数</t>
        </is>
      </c>
    </row>
    <row r="2">
      <c r="A2" s="4" t="inlineStr">
        <is>
          <t>AI（Claude）</t>
        </is>
      </c>
      <c r="B2" s="4" t="inlineStr">
        <is>
          <t>41/41</t>
        </is>
      </c>
      <c r="C2" s="4" t="n">
        <v>0</v>
      </c>
      <c r="D2" s="4" t="n">
        <v>0</v>
      </c>
      <c r="E2" s="4" t="n">
        <v>0</v>
      </c>
      <c r="F2" s="4" t="inlineStr">
        <is>
          <t>40/41</t>
        </is>
      </c>
      <c r="G2" s="4" t="n">
        <v>22</v>
      </c>
    </row>
    <row r="3">
      <c r="A3" s="4" t="inlineStr">
        <is>
          <t>关键词基线</t>
        </is>
      </c>
      <c r="B3" s="4" t="inlineStr">
        <is>
          <t>35/41</t>
        </is>
      </c>
      <c r="C3" s="4" t="n">
        <v>0</v>
      </c>
      <c r="D3" s="4" t="inlineStr">
        <is>
          <t>17400228971、17401788734</t>
        </is>
      </c>
      <c r="E3" s="4" t="n">
        <v>0</v>
      </c>
      <c r="F3" s="4" t="inlineStr">
        <is>
          <t>38/41</t>
        </is>
      </c>
      <c r="G3" s="4" t="n">
        <v>20</v>
      </c>
    </row>
    <row r="4">
      <c r="A4" s="4" t="inlineStr">
        <is>
          <t>关键词基线v2（仅调换顺序）</t>
        </is>
      </c>
      <c r="B4" s="4" t="inlineStr">
        <is>
          <t>37/41</t>
        </is>
      </c>
      <c r="C4" s="4" t="n">
        <v>0</v>
      </c>
      <c r="D4" s="4" t="inlineStr">
        <is>
          <t>17400228971、17401788734</t>
        </is>
      </c>
      <c r="E4" s="4" t="n">
        <v>0</v>
      </c>
      <c r="F4" s="4" t="inlineStr">
        <is>
          <t>38/41</t>
        </is>
      </c>
      <c r="G4" s="4" t="n">
        <v>20</v>
      </c>
    </row>
    <row r="6">
      <c r="A6" t="inlineStr">
        <is>
          <t>AI 依据片段为原文逐字子串：41/41；基线只能给出命中的关键词，不给句子依据。</t>
        </is>
      </c>
    </row>
    <row r="7">
      <c r="A7" t="inlineStr">
        <is>
          <t>复核状态：参考标签待人工复核（0/41）。一致率用来定位错误类型：参考标签由作者借助 Claude 标注、尚待人工复核，与 AI 同源，AI 的一致率会偏高；41 条样本适合找出错误模式，不足以估计总体准确率。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4" customWidth="1" min="1" max="1"/>
    <col width="12" customWidth="1" min="2" max="2"/>
    <col width="14" customWidth="1" min="3" max="3"/>
    <col width="18" customWidth="1" min="4" max="4"/>
    <col width="10" customWidth="1" min="5" max="5"/>
    <col width="40" customWidth="1" min="6" max="6"/>
    <col width="48" customWidth="1" min="7" max="7"/>
  </cols>
  <sheetData>
    <row r="1">
      <c r="A1" s="5" t="inlineStr">
        <is>
          <t>Q1 样本中各类问题有多少（参考标签待人工复核）</t>
        </is>
      </c>
    </row>
    <row r="2">
      <c r="A2" s="3" t="inlineStr">
        <is>
          <t>类别</t>
        </is>
      </c>
      <c r="B2" s="3" t="inlineStr">
        <is>
          <t>条数</t>
        </is>
      </c>
      <c r="C2" s="3" t="inlineStr">
        <is>
          <t>样本占比_pct</t>
        </is>
      </c>
      <c r="D2" s="3" t="inlineStr">
        <is>
          <t>列表显示已回复</t>
        </is>
      </c>
      <c r="E2" s="3" t="inlineStr">
        <is>
          <t>提到健康症状</t>
        </is>
      </c>
    </row>
    <row r="3">
      <c r="A3" s="4" t="inlineStr">
        <is>
          <t>质量安全</t>
        </is>
      </c>
      <c r="B3" s="4" t="n">
        <v>18</v>
      </c>
      <c r="C3" s="4" t="inlineStr">
        <is>
          <t>43.9</t>
        </is>
      </c>
      <c r="D3" s="4" t="n">
        <v>4</v>
      </c>
      <c r="E3" s="4" t="n">
        <v>3</v>
      </c>
    </row>
    <row r="4">
      <c r="A4" s="4" t="inlineStr">
        <is>
          <t>活动权益</t>
        </is>
      </c>
      <c r="B4" s="4" t="n">
        <v>18</v>
      </c>
      <c r="C4" s="4" t="inlineStr">
        <is>
          <t>43.9</t>
        </is>
      </c>
      <c r="D4" s="4" t="n">
        <v>10</v>
      </c>
      <c r="E4" s="4" t="n">
        <v>1</v>
      </c>
    </row>
    <row r="5">
      <c r="A5" s="4" t="inlineStr">
        <is>
          <t>订单发货</t>
        </is>
      </c>
      <c r="B5" s="4" t="n">
        <v>5</v>
      </c>
      <c r="C5" s="4" t="inlineStr">
        <is>
          <t>12.2</t>
        </is>
      </c>
      <c r="D5" s="4" t="n">
        <v>2</v>
      </c>
      <c r="E5" s="4" t="n">
        <v>0</v>
      </c>
    </row>
    <row r="8">
      <c r="A8" s="5" t="inlineStr">
        <is>
          <t>Q2 哪些具体问题在 ≥2 条独立投诉中重复出现</t>
        </is>
      </c>
    </row>
    <row r="9">
      <c r="A9" s="3" t="inlineStr">
        <is>
          <t>子问题</t>
        </is>
      </c>
      <c r="B9" s="3" t="inlineStr">
        <is>
          <t>类别</t>
        </is>
      </c>
      <c r="C9" s="3" t="inlineStr">
        <is>
          <t>独立投诉数</t>
        </is>
      </c>
      <c r="D9" s="3" t="inlineStr">
        <is>
          <t>最早</t>
        </is>
      </c>
      <c r="E9" s="3" t="inlineStr">
        <is>
          <t>最近</t>
        </is>
      </c>
      <c r="F9" s="3" t="inlineStr">
        <is>
          <t>文本提及渠道</t>
        </is>
      </c>
    </row>
    <row r="10">
      <c r="A10" s="4" t="inlineStr">
        <is>
          <t>异物/虫</t>
        </is>
      </c>
      <c r="B10" s="4" t="inlineStr">
        <is>
          <t>质量安全</t>
        </is>
      </c>
      <c r="C10" s="4" t="n">
        <v>15</v>
      </c>
      <c r="D10" s="4" t="inlineStr">
        <is>
          <t>2026-07-16</t>
        </is>
      </c>
      <c r="E10" s="4" t="inlineStr">
        <is>
          <t>2026-10-02</t>
        </is>
      </c>
      <c r="F10" s="4" t="inlineStr">
        <is>
          <t>线下门店,天猫/淘宝,拼多多,未说明</t>
        </is>
      </c>
    </row>
    <row r="11">
      <c r="A11" s="4" t="inlineStr">
        <is>
          <t>集罐不累计</t>
        </is>
      </c>
      <c r="B11" s="4" t="inlineStr">
        <is>
          <t>活动权益</t>
        </is>
      </c>
      <c r="C11" s="4" t="n">
        <v>6</v>
      </c>
      <c r="D11" s="4" t="inlineStr">
        <is>
          <t>2026-07-16</t>
        </is>
      </c>
      <c r="E11" s="4" t="inlineStr">
        <is>
          <t>2026-10-12</t>
        </is>
      </c>
      <c r="F11" s="4" t="inlineStr">
        <is>
          <t>品牌小程序/会员平台,线下门店,未说明</t>
        </is>
      </c>
    </row>
    <row r="12">
      <c r="A12" s="4" t="inlineStr">
        <is>
          <t>订单异常拒发</t>
        </is>
      </c>
      <c r="B12" s="4" t="inlineStr">
        <is>
          <t>订单发货</t>
        </is>
      </c>
      <c r="C12" s="4" t="n">
        <v>4</v>
      </c>
      <c r="D12" s="4" t="inlineStr">
        <is>
          <t>2026-08-01</t>
        </is>
      </c>
      <c r="E12" s="4" t="inlineStr">
        <is>
          <t>2026-10-07</t>
        </is>
      </c>
      <c r="F12" s="4" t="inlineStr">
        <is>
          <t>天猫/淘宝,抖音</t>
        </is>
      </c>
    </row>
    <row r="13">
      <c r="A13" s="4" t="inlineStr">
        <is>
          <t>赠品问题</t>
        </is>
      </c>
      <c r="B13" s="4" t="inlineStr">
        <is>
          <t>活动权益</t>
        </is>
      </c>
      <c r="C13" s="4" t="n">
        <v>4</v>
      </c>
      <c r="D13" s="4" t="inlineStr">
        <is>
          <t>2026-07-29</t>
        </is>
      </c>
      <c r="E13" s="4" t="inlineStr">
        <is>
          <t>2026-09-22</t>
        </is>
      </c>
      <c r="F13" s="4" t="inlineStr">
        <is>
          <t>未说明,抖音,京东,天猫/淘宝</t>
        </is>
      </c>
    </row>
    <row r="14">
      <c r="A14" s="4" t="inlineStr">
        <is>
          <t>扫码手机号/账号</t>
        </is>
      </c>
      <c r="B14" s="4" t="inlineStr">
        <is>
          <t>活动权益</t>
        </is>
      </c>
      <c r="C14" s="4" t="n">
        <v>3</v>
      </c>
      <c r="D14" s="4" t="inlineStr">
        <is>
          <t>2026-08-05</t>
        </is>
      </c>
      <c r="E14" s="4" t="inlineStr">
        <is>
          <t>2026-10-15</t>
        </is>
      </c>
      <c r="F14" s="4" t="inlineStr">
        <is>
          <t>京东,品牌小程序/会员平台,天猫/淘宝</t>
        </is>
      </c>
    </row>
    <row r="15">
      <c r="A15" s="4" t="inlineStr">
        <is>
          <t>活动过期/规则未告知</t>
        </is>
      </c>
      <c r="B15" s="4" t="inlineStr">
        <is>
          <t>活动权益</t>
        </is>
      </c>
      <c r="C15" s="4" t="n">
        <v>2</v>
      </c>
      <c r="D15" s="4" t="inlineStr">
        <is>
          <t>2026-07-27</t>
        </is>
      </c>
      <c r="E15" s="4" t="inlineStr">
        <is>
          <t>2026-09-30</t>
        </is>
      </c>
      <c r="F15" s="4" t="inlineStr">
        <is>
          <t>线下门店</t>
        </is>
      </c>
    </row>
    <row r="16">
      <c r="A16" s="4" t="inlineStr">
        <is>
          <t>空罐丢失锁权益</t>
        </is>
      </c>
      <c r="B16" s="4" t="inlineStr">
        <is>
          <t>活动权益</t>
        </is>
      </c>
      <c r="C16" s="4" t="n">
        <v>2</v>
      </c>
      <c r="D16" s="4" t="inlineStr">
        <is>
          <t>2026-09-15</t>
        </is>
      </c>
      <c r="E16" s="4" t="inlineStr">
        <is>
          <t>2026-10-10</t>
        </is>
      </c>
      <c r="F16" s="4" t="inlineStr">
        <is>
          <t>未说明</t>
        </is>
      </c>
    </row>
    <row r="19">
      <c r="A19" s="5" t="inlineStr">
        <is>
          <t>Q2b 活动权益类里，规则/系统限制 vs 承诺未兑现</t>
        </is>
      </c>
    </row>
    <row r="20">
      <c r="A20" s="3" t="inlineStr">
        <is>
          <t>类型</t>
        </is>
      </c>
      <c r="B20" s="3" t="inlineStr">
        <is>
          <t>条数</t>
        </is>
      </c>
    </row>
    <row r="21">
      <c r="A21" s="4" t="inlineStr">
        <is>
          <t>承诺未兑现（赠品/积分）</t>
        </is>
      </c>
      <c r="B21" s="4" t="n">
        <v>5</v>
      </c>
    </row>
    <row r="22">
      <c r="A22" s="4" t="inlineStr">
        <is>
          <t>规则/系统限制</t>
        </is>
      </c>
      <c r="B22" s="4" t="n">
        <v>13</v>
      </c>
    </row>
    <row r="25">
      <c r="A25" s="5" t="inlineStr">
        <is>
          <t>Q3 哪些记录需要人工优先核查（排序分＝写到症状 3＋批次号 2＋多罐或多次 2＋未回复 1）</t>
        </is>
      </c>
    </row>
    <row r="26">
      <c r="A26" s="3" t="inlineStr">
        <is>
          <t>投诉单号</t>
        </is>
      </c>
      <c r="B26" s="3" t="inlineStr">
        <is>
          <t>日期</t>
        </is>
      </c>
      <c r="C26" s="3" t="inlineStr">
        <is>
          <t>类别</t>
        </is>
      </c>
      <c r="D26" s="3" t="inlineStr">
        <is>
          <t>子问题</t>
        </is>
      </c>
      <c r="E26" s="3" t="inlineStr">
        <is>
          <t>排序分</t>
        </is>
      </c>
      <c r="F26" s="3" t="inlineStr">
        <is>
          <t>排序理由</t>
        </is>
      </c>
      <c r="G26" s="3" t="inlineStr">
        <is>
          <t>原文链接</t>
        </is>
      </c>
    </row>
    <row r="27">
      <c r="A27" s="4" t="inlineStr">
        <is>
          <t>17399898918</t>
        </is>
      </c>
      <c r="B27" s="4" t="inlineStr">
        <is>
          <t>2026-07-18</t>
        </is>
      </c>
      <c r="C27" s="4" t="inlineStr">
        <is>
          <t>质量安全</t>
        </is>
      </c>
      <c r="D27" s="4" t="inlineStr">
        <is>
          <t>量勺错配</t>
        </is>
      </c>
      <c r="E27" s="4" t="n">
        <v>6</v>
      </c>
      <c r="F27" s="4" t="inlineStr">
        <is>
          <t>写到食用后症状；写到多罐/多次；列表显示未回复；</t>
        </is>
      </c>
      <c r="G27" s="4" t="inlineStr">
        <is>
          <t>https://tousu.sina.com.cn/complaint/view/17399898918/</t>
        </is>
      </c>
    </row>
    <row r="28">
      <c r="A28" s="4" t="inlineStr">
        <is>
          <t>17400551300</t>
        </is>
      </c>
      <c r="B28" s="4" t="inlineStr">
        <is>
          <t>2026-08-05</t>
        </is>
      </c>
      <c r="C28" s="4" t="inlineStr">
        <is>
          <t>质量安全</t>
        </is>
      </c>
      <c r="D28" s="4" t="inlineStr">
        <is>
          <t>食用后不适</t>
        </is>
      </c>
      <c r="E28" s="4" t="n">
        <v>4</v>
      </c>
      <c r="F28" s="4" t="inlineStr">
        <is>
          <t>写到食用后症状；列表显示未回复；</t>
        </is>
      </c>
      <c r="G28" s="4" t="inlineStr">
        <is>
          <t>https://tousu.sina.com.cn/complaint/view/17400551300/</t>
        </is>
      </c>
    </row>
    <row r="29">
      <c r="A29" s="4" t="inlineStr">
        <is>
          <t>17400228971</t>
        </is>
      </c>
      <c r="B29" s="4" t="inlineStr">
        <is>
          <t>2026-07-27</t>
        </is>
      </c>
      <c r="C29" s="4" t="inlineStr">
        <is>
          <t>活动权益</t>
        </is>
      </c>
      <c r="D29" s="4" t="inlineStr">
        <is>
          <t>活动过期/规则未告知</t>
        </is>
      </c>
      <c r="E29" s="4" t="n">
        <v>4</v>
      </c>
      <c r="F29" s="4" t="inlineStr">
        <is>
          <t>写到食用后症状；列表显示未回复；</t>
        </is>
      </c>
      <c r="G29" s="4" t="inlineStr">
        <is>
          <t>https://tousu.sina.com.cn/complaint/view/17400228971/</t>
        </is>
      </c>
    </row>
    <row r="30">
      <c r="A30" s="4" t="inlineStr">
        <is>
          <t>17400496529</t>
        </is>
      </c>
      <c r="B30" s="4" t="inlineStr">
        <is>
          <t>2026-08-04</t>
        </is>
      </c>
      <c r="C30" s="4" t="inlineStr">
        <is>
          <t>质量安全</t>
        </is>
      </c>
      <c r="D30" s="4" t="inlineStr">
        <is>
          <t>异物/虫</t>
        </is>
      </c>
      <c r="E30" s="4" t="n">
        <v>3</v>
      </c>
      <c r="F30" s="4" t="inlineStr">
        <is>
          <t>写到多罐/多次；列表显示未回复；</t>
        </is>
      </c>
      <c r="G30" s="4" t="inlineStr">
        <is>
          <t>https://tousu.sina.com.cn/complaint/view/17400496529/</t>
        </is>
      </c>
    </row>
    <row r="31">
      <c r="A31" s="4" t="inlineStr">
        <is>
          <t>17399835541</t>
        </is>
      </c>
      <c r="B31" s="4" t="inlineStr">
        <is>
          <t>2026-07-16</t>
        </is>
      </c>
      <c r="C31" s="4" t="inlineStr">
        <is>
          <t>质量安全</t>
        </is>
      </c>
      <c r="D31" s="4" t="inlineStr">
        <is>
          <t>异物/虫</t>
        </is>
      </c>
      <c r="E31" s="4" t="n">
        <v>3</v>
      </c>
      <c r="F31" s="4" t="inlineStr">
        <is>
          <t>写到食用后症状；</t>
        </is>
      </c>
      <c r="G31" s="4" t="inlineStr">
        <is>
          <t>https://tousu.sina.com.cn/complaint/view/17399835541/</t>
        </is>
      </c>
    </row>
    <row r="32">
      <c r="A32" s="4" t="inlineStr">
        <is>
          <t>17401992912</t>
        </is>
      </c>
      <c r="B32" s="4" t="inlineStr">
        <is>
          <t>2026-10-02</t>
        </is>
      </c>
      <c r="C32" s="4" t="inlineStr">
        <is>
          <t>质量安全</t>
        </is>
      </c>
      <c r="D32" s="4" t="inlineStr">
        <is>
          <t>异物/虫</t>
        </is>
      </c>
      <c r="E32" s="4" t="n">
        <v>2</v>
      </c>
      <c r="F32" s="4" t="inlineStr">
        <is>
          <t>写到多罐/多次；</t>
        </is>
      </c>
      <c r="G32" s="4" t="inlineStr">
        <is>
          <t>https://tousu.sina.com.cn/complaint/view/17401992912/</t>
        </is>
      </c>
    </row>
    <row r="33">
      <c r="A33" s="4" t="inlineStr">
        <is>
          <t>17401610603</t>
        </is>
      </c>
      <c r="B33" s="4" t="inlineStr">
        <is>
          <t>2026-09-15</t>
        </is>
      </c>
      <c r="C33" s="4" t="inlineStr">
        <is>
          <t>质量安全</t>
        </is>
      </c>
      <c r="D33" s="4" t="inlineStr">
        <is>
          <t>异物/虫</t>
        </is>
      </c>
      <c r="E33" s="4" t="n">
        <v>2</v>
      </c>
      <c r="F33" s="4" t="inlineStr">
        <is>
          <t>有批次号可追溯：5F26QL202AI62；</t>
        </is>
      </c>
      <c r="G33" s="4" t="inlineStr">
        <is>
          <t>https://tousu.sina.com.cn/complaint/view/17401610603/</t>
        </is>
      </c>
    </row>
    <row r="34">
      <c r="A34" s="4" t="inlineStr">
        <is>
          <t>17401506340</t>
        </is>
      </c>
      <c r="B34" s="4" t="inlineStr">
        <is>
          <t>2026-09-10</t>
        </is>
      </c>
      <c r="C34" s="4" t="inlineStr">
        <is>
          <t>质量安全</t>
        </is>
      </c>
      <c r="D34" s="4" t="inlineStr">
        <is>
          <t>异物/虫</t>
        </is>
      </c>
      <c r="E34" s="4" t="n">
        <v>1</v>
      </c>
      <c r="F34" s="4" t="inlineStr">
        <is>
          <t>列表显示未回复；</t>
        </is>
      </c>
      <c r="G34" s="4" t="inlineStr">
        <is>
          <t>https://tousu.sina.com.cn/complaint/view/17401506340/</t>
        </is>
      </c>
    </row>
    <row r="35">
      <c r="A35" s="4" t="inlineStr">
        <is>
          <t>17401443731</t>
        </is>
      </c>
      <c r="B35" s="4" t="inlineStr">
        <is>
          <t>2026-09-07</t>
        </is>
      </c>
      <c r="C35" s="4" t="inlineStr">
        <is>
          <t>质量安全</t>
        </is>
      </c>
      <c r="D35" s="4" t="inlineStr">
        <is>
          <t>异物/虫</t>
        </is>
      </c>
      <c r="E35" s="4" t="n">
        <v>1</v>
      </c>
      <c r="F35" s="4" t="inlineStr">
        <is>
          <t>列表显示未回复；</t>
        </is>
      </c>
      <c r="G35" s="4" t="inlineStr">
        <is>
          <t>https://tousu.sina.com.cn/complaint/view/17401443731/</t>
        </is>
      </c>
    </row>
    <row r="36">
      <c r="A36" s="4" t="inlineStr">
        <is>
          <t>17401352501</t>
        </is>
      </c>
      <c r="B36" s="4" t="inlineStr">
        <is>
          <t>2026-09-04</t>
        </is>
      </c>
      <c r="C36" s="4" t="inlineStr">
        <is>
          <t>质量安全</t>
        </is>
      </c>
      <c r="D36" s="4" t="inlineStr">
        <is>
          <t>异物/虫</t>
        </is>
      </c>
      <c r="E36" s="4" t="n">
        <v>1</v>
      </c>
      <c r="F36" s="4" t="inlineStr">
        <is>
          <t>列表显示未回复；</t>
        </is>
      </c>
      <c r="G36" s="4" t="inlineStr">
        <is>
          <t>https://tousu.sina.com.cn/complaint/view/17401352501/</t>
        </is>
      </c>
    </row>
    <row r="37">
      <c r="A37" s="4" t="inlineStr">
        <is>
          <t>17401290214</t>
        </is>
      </c>
      <c r="B37" s="4" t="inlineStr">
        <is>
          <t>2026-09-01</t>
        </is>
      </c>
      <c r="C37" s="4" t="inlineStr">
        <is>
          <t>质量安全</t>
        </is>
      </c>
      <c r="D37" s="4" t="inlineStr">
        <is>
          <t>异物/虫</t>
        </is>
      </c>
      <c r="E37" s="4" t="n">
        <v>1</v>
      </c>
      <c r="F37" s="4" t="inlineStr">
        <is>
          <t>列表显示未回复；</t>
        </is>
      </c>
      <c r="G37" s="4" t="inlineStr">
        <is>
          <t>https://tousu.sina.com.cn/complaint/view/17401290214/</t>
        </is>
      </c>
    </row>
    <row r="38">
      <c r="A38" s="4" t="inlineStr">
        <is>
          <t>17400916652</t>
        </is>
      </c>
      <c r="B38" s="4" t="inlineStr">
        <is>
          <t>2026-08-18</t>
        </is>
      </c>
      <c r="C38" s="4" t="inlineStr">
        <is>
          <t>质量安全</t>
        </is>
      </c>
      <c r="D38" s="4" t="inlineStr">
        <is>
          <t>异物/虫</t>
        </is>
      </c>
      <c r="E38" s="4" t="n">
        <v>1</v>
      </c>
      <c r="F38" s="4" t="inlineStr">
        <is>
          <t>列表显示未回复；</t>
        </is>
      </c>
      <c r="G38" s="4" t="inlineStr">
        <is>
          <t>https://tousu.sina.com.cn/complaint/view/17400916652/</t>
        </is>
      </c>
    </row>
    <row r="39">
      <c r="A39" s="4" t="inlineStr">
        <is>
          <t>17400808678</t>
        </is>
      </c>
      <c r="B39" s="4" t="inlineStr">
        <is>
          <t>2026-08-15</t>
        </is>
      </c>
      <c r="C39" s="4" t="inlineStr">
        <is>
          <t>质量安全</t>
        </is>
      </c>
      <c r="D39" s="4" t="inlineStr">
        <is>
          <t>异物/虫</t>
        </is>
      </c>
      <c r="E39" s="4" t="n">
        <v>1</v>
      </c>
      <c r="F39" s="4" t="inlineStr">
        <is>
          <t>列表显示未回复；</t>
        </is>
      </c>
      <c r="G39" s="4" t="inlineStr">
        <is>
          <t>https://tousu.sina.com.cn/complaint/view/17400808678/</t>
        </is>
      </c>
    </row>
    <row r="40">
      <c r="A40" s="4" t="inlineStr">
        <is>
          <t>17400781382</t>
        </is>
      </c>
      <c r="B40" s="4" t="inlineStr">
        <is>
          <t>2026-08-13</t>
        </is>
      </c>
      <c r="C40" s="4" t="inlineStr">
        <is>
          <t>质量安全</t>
        </is>
      </c>
      <c r="D40" s="4" t="inlineStr">
        <is>
          <t>异物/虫</t>
        </is>
      </c>
      <c r="E40" s="4" t="n">
        <v>1</v>
      </c>
      <c r="F40" s="4" t="inlineStr">
        <is>
          <t>列表显示未回复；</t>
        </is>
      </c>
      <c r="G40" s="4" t="inlineStr">
        <is>
          <t>https://tousu.sina.com.cn/complaint/view/17400781382/</t>
        </is>
      </c>
    </row>
    <row r="41">
      <c r="A41" s="4" t="inlineStr">
        <is>
          <t>17400743935</t>
        </is>
      </c>
      <c r="B41" s="4" t="inlineStr">
        <is>
          <t>2026-08-11</t>
        </is>
      </c>
      <c r="C41" s="4" t="inlineStr">
        <is>
          <t>质量安全</t>
        </is>
      </c>
      <c r="D41" s="4" t="inlineStr">
        <is>
          <t>异味</t>
        </is>
      </c>
      <c r="E41" s="4" t="n">
        <v>1</v>
      </c>
      <c r="F41" s="4" t="inlineStr">
        <is>
          <t>列表显示未回复；</t>
        </is>
      </c>
      <c r="G41" s="4" t="inlineStr">
        <is>
          <t>https://tousu.sina.com.cn/complaint/view/17400743935/</t>
        </is>
      </c>
    </row>
    <row r="42">
      <c r="A42" s="4" t="inlineStr">
        <is>
          <t>17400675670</t>
        </is>
      </c>
      <c r="B42" s="4" t="inlineStr">
        <is>
          <t>2026-08-09</t>
        </is>
      </c>
      <c r="C42" s="4" t="inlineStr">
        <is>
          <t>质量安全</t>
        </is>
      </c>
      <c r="D42" s="4" t="inlineStr">
        <is>
          <t>异物/虫</t>
        </is>
      </c>
      <c r="E42" s="4" t="n">
        <v>1</v>
      </c>
      <c r="F42" s="4" t="inlineStr">
        <is>
          <t>列表显示未回复；</t>
        </is>
      </c>
      <c r="G42" s="4" t="inlineStr">
        <is>
          <t>https://tousu.sina.com.cn/complaint/view/17400675670/</t>
        </is>
      </c>
    </row>
    <row r="43">
      <c r="A43" s="4" t="inlineStr">
        <is>
          <t>17400135464</t>
        </is>
      </c>
      <c r="B43" s="4" t="inlineStr">
        <is>
          <t>2026-08-05</t>
        </is>
      </c>
      <c r="C43" s="4" t="inlineStr">
        <is>
          <t>质量安全</t>
        </is>
      </c>
      <c r="D43" s="4" t="inlineStr">
        <is>
          <t>异物/虫</t>
        </is>
      </c>
      <c r="E43" s="4" t="n">
        <v>1</v>
      </c>
      <c r="F43" s="4" t="inlineStr">
        <is>
          <t>列表显示未回复；</t>
        </is>
      </c>
      <c r="G43" s="4" t="inlineStr">
        <is>
          <t>https://tousu.sina.com.cn/complaint/view/17400135464/</t>
        </is>
      </c>
    </row>
    <row r="44">
      <c r="A44" s="4" t="inlineStr">
        <is>
          <t>17400368536</t>
        </is>
      </c>
      <c r="B44" s="4" t="inlineStr">
        <is>
          <t>2026-07-31</t>
        </is>
      </c>
      <c r="C44" s="4" t="inlineStr">
        <is>
          <t>质量安全</t>
        </is>
      </c>
      <c r="D44" s="4" t="inlineStr">
        <is>
          <t>异物/虫</t>
        </is>
      </c>
      <c r="E44" s="4" t="n">
        <v>1</v>
      </c>
      <c r="F44" s="4" t="inlineStr">
        <is>
          <t>列表显示未回复；</t>
        </is>
      </c>
      <c r="G44" s="4" t="inlineStr">
        <is>
          <t>https://tousu.sina.com.cn/complaint/view/17400368536/</t>
        </is>
      </c>
    </row>
    <row r="45">
      <c r="A45" s="4" t="inlineStr">
        <is>
          <t>17401285142</t>
        </is>
      </c>
      <c r="B45" s="4" t="inlineStr">
        <is>
          <t>2026-09-01</t>
        </is>
      </c>
      <c r="C45" s="4" t="inlineStr">
        <is>
          <t>质量安全</t>
        </is>
      </c>
      <c r="D45" s="4" t="inlineStr">
        <is>
          <t>异物/虫</t>
        </is>
      </c>
      <c r="E45" s="4" t="n">
        <v>0</v>
      </c>
      <c r="F45" s="4" t="inlineStr"/>
      <c r="G45" s="4" t="inlineStr">
        <is>
          <t>https://tousu.sina.com.cn/complaint/view/17401285142/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4" customWidth="1" min="3" max="3"/>
    <col width="50" customWidth="1" min="4" max="4"/>
    <col width="12" customWidth="1" min="5" max="5"/>
    <col width="24" customWidth="1" min="6" max="6"/>
  </cols>
  <sheetData>
    <row r="1">
      <c r="A1" s="3" t="inlineStr">
        <is>
          <t>结论</t>
        </is>
      </c>
      <c r="B1" s="3" t="inlineStr">
        <is>
          <t>证据类型</t>
        </is>
      </c>
      <c r="C1" s="3" t="inlineStr">
        <is>
          <t>来源</t>
        </is>
      </c>
      <c r="D1" s="3" t="inlineStr">
        <is>
          <t>链接</t>
        </is>
      </c>
      <c r="E1" s="3" t="inlineStr">
        <is>
          <t>发布日期</t>
        </is>
      </c>
      <c r="F1" s="3" t="inlineStr">
        <is>
          <t>原文位置</t>
        </is>
      </c>
    </row>
    <row r="2">
      <c r="A2" s="4" t="inlineStr">
        <is>
          <t>该品牌主要通过 2,800 余名线下客户（经销商）覆盖 7 万余个零售点；线下客户收入占乳制品收入 73.3%；产品也直接在大型电商平台及自有网站、App 销售</t>
        </is>
      </c>
      <c r="B2" s="4" t="inlineStr">
        <is>
          <t>官方披露</t>
        </is>
      </c>
      <c r="C2" s="4" t="inlineStr">
        <is>
          <t>该公司 2025 年度业绩公告（港交所）</t>
        </is>
      </c>
      <c r="D2" s="4" t="inlineStr">
        <is>
          <t>https://www1.hkexnews.hk/listedco/listconews/sehk/2026/0326/2026032602610.pdf</t>
        </is>
      </c>
      <c r="E2" s="4" t="inlineStr">
        <is>
          <t>2026-03-26</t>
        </is>
      </c>
      <c r="F2" s="4" t="inlineStr">
        <is>
          <t>p.20「Sales and Distribution Network」</t>
        </is>
      </c>
    </row>
    <row r="3">
      <c r="A3" s="4" t="inlineStr">
        <is>
          <t>营销三要素：面对面研讨会（2025 年超 70 万场）、最大化线上互动、定向媒体曝光</t>
        </is>
      </c>
      <c r="B3" s="4" t="inlineStr">
        <is>
          <t>官方披露</t>
        </is>
      </c>
      <c r="C3" s="4" t="inlineStr">
        <is>
          <t>同上</t>
        </is>
      </c>
      <c r="D3" s="4" t="inlineStr">
        <is>
          <t>同上</t>
        </is>
      </c>
      <c r="E3" s="4" t="inlineStr">
        <is>
          <t>2026-03-26</t>
        </is>
      </c>
      <c r="F3" s="4" t="inlineStr">
        <is>
          <t>p.21 营销策略</t>
        </is>
      </c>
    </row>
    <row r="4">
      <c r="A4" s="4" t="inlineStr">
        <is>
          <t>年度业绩公告全文未出现 AI、artificial intelligence、digital、smart 等词</t>
        </is>
      </c>
      <c r="B4" s="4" t="inlineStr">
        <is>
          <t>作者检索（官方文件）</t>
        </is>
      </c>
      <c r="C4" s="4" t="inlineStr">
        <is>
          <t>同上（pdfplumber 全文检索）</t>
        </is>
      </c>
      <c r="D4" s="4" t="inlineStr">
        <is>
          <t>同上</t>
        </is>
      </c>
      <c r="E4" s="4" t="inlineStr">
        <is>
          <t>2026-03-26</t>
        </is>
      </c>
      <c r="F4" s="4" t="inlineStr">
        <is>
          <t>全文</t>
        </is>
      </c>
    </row>
    <row r="5">
      <c r="A5" s="4" t="inlineStr">
        <is>
          <t>2026 上半年线下客户收入占乳制品收入 70.5%，约 33 万场面对面研讨会</t>
        </is>
      </c>
      <c r="B5" s="4" t="inlineStr">
        <is>
          <t>第三方整理的官方公告摘要</t>
        </is>
      </c>
      <c r="C5" s="4" t="inlineStr">
        <is>
          <t>Reportify · 该公司 2026 中期业绩</t>
        </is>
      </c>
      <c r="D5" s="4" t="inlineStr">
        <is>
          <t>https://reportify.cn/financials/1290110753197658112</t>
        </is>
      </c>
      <c r="E5" s="4" t="inlineStr">
        <is>
          <t>2026-08-26</t>
        </is>
      </c>
      <c r="F5" s="4" t="inlineStr">
        <is>
          <t>渠道段；港交所原文未取得</t>
        </is>
      </c>
    </row>
    <row r="6">
      <c r="A6" s="4" t="inlineStr">
        <is>
          <t>2025 年营收 181.1 亿元、净利润 20.9 亿元；星妈会会员突破 8800 万；全龄营养转型</t>
        </is>
      </c>
      <c r="B6" s="4" t="inlineStr">
        <is>
          <t>第三方报道（企业信息）</t>
        </is>
      </c>
      <c r="C6" s="4" t="inlineStr">
        <is>
          <t>新华网</t>
        </is>
      </c>
      <c r="D6" s="4" t="inlineStr">
        <is>
          <t>https://app.xinhuanet.com/news/article.html?articleId=202603274fd9f77a3d9d4b9e963d944d5d7e39d1</t>
        </is>
      </c>
      <c r="E6" s="4" t="inlineStr">
        <is>
          <t>2026-03-27</t>
        </is>
      </c>
      <c r="F6" s="4" t="inlineStr">
        <is>
          <t>正文</t>
        </is>
      </c>
    </row>
    <row r="7">
      <c r="A7" s="4" t="inlineStr">
        <is>
          <t>依托火山引擎 HiAgent 搭建统一 AI 应用平台，已开发 436 个智能体；已应用场景为设备运维、膜清洗工艺、人事管理，未提消费者/客服/电商</t>
        </is>
      </c>
      <c r="B7" s="4" t="inlineStr">
        <is>
          <t>第三方报道（企业自述）</t>
        </is>
      </c>
      <c r="C7" s="4" t="inlineStr">
        <is>
          <t>鲁网（中国日报网转载）</t>
        </is>
      </c>
      <c r="D7" s="4" t="inlineStr">
        <is>
          <t>https://cn.chinadaily.com.cn/a/202608/27/WS6a8ffbade4b09a165c7866ff.html</t>
        </is>
      </c>
      <c r="E7" s="4" t="inlineStr">
        <is>
          <t>2026-08-27</t>
        </is>
      </c>
      <c r="F7" s="4" t="inlineStr">
        <is>
          <t>正文</t>
        </is>
      </c>
    </row>
    <row r="8">
      <c r="A8" s="4" t="inlineStr">
        <is>
          <t>内部 AI 平台接入 DeepSeek；「乳业 AI 场景地图」含电子商务、终端支持等，属规划，未说明上线情况</t>
        </is>
      </c>
      <c r="B8" s="4" t="inlineStr">
        <is>
          <t>第三方报道</t>
        </is>
      </c>
      <c r="C8" s="4" t="inlineStr">
        <is>
          <t>第一财经（新浪财经）</t>
        </is>
      </c>
      <c r="D8" s="4" t="inlineStr">
        <is>
          <t>https://finance.sina.com.cn/roll/2025-02-20/doc-inemcpfe4627361.shtml</t>
        </is>
      </c>
      <c r="E8" s="4" t="inlineStr">
        <is>
          <t>2025-02-20</t>
        </is>
      </c>
      <c r="F8" s="4" t="inlineStr">
        <is>
          <t>正文</t>
        </is>
      </c>
    </row>
    <row r="9">
      <c r="A9" s="4" t="inlineStr">
        <is>
          <t>客服智能质检覆盖 400 呼入、外呼与 IM 文本，全量质检；未提电商平台评价或公开投诉平台</t>
        </is>
      </c>
      <c r="B9" s="4" t="inlineStr">
        <is>
          <t>厂商案例（自述，未经第三方验证）</t>
        </is>
      </c>
      <c r="C9" s="4" t="inlineStr">
        <is>
          <t>沃丰科技官网</t>
        </is>
      </c>
      <c r="D9" s="4" t="inlineStr">
        <is>
          <t>https://www.udesk.cn/ucm/report/52194</t>
        </is>
      </c>
      <c r="E9" s="4" t="inlineStr">
        <is>
          <t>2023-12-14</t>
        </is>
      </c>
      <c r="F9" s="4" t="inlineStr">
        <is>
          <t>正文</t>
        </is>
      </c>
    </row>
    <row r="10">
      <c r="A10" s="4" t="inlineStr">
        <is>
          <t>2025 年投诉 48 小时结案率 94%；400 热线满意度 99%、星妈会在线 96%；风险框架新增「AI 技术应用风险」「直播业务风险」</t>
        </is>
      </c>
      <c r="B10" s="4" t="inlineStr">
        <is>
          <t>第三方转述官方 ESG 报告（原文未取得，待核）</t>
        </is>
      </c>
      <c r="C10" s="4" t="inlineStr">
        <is>
          <t>证券之星（网易号转载）</t>
        </is>
      </c>
      <c r="D10" s="4" t="inlineStr">
        <is>
          <t>https://www.163.com/dy/article/KUG6HUGB051984TV.html</t>
        </is>
      </c>
      <c r="E10" s="4" t="inlineStr">
        <is>
          <t>2026-06-03</t>
        </is>
      </c>
      <c r="F10" s="4" t="inlineStr">
        <is>
          <t>客户服务段</t>
        </is>
      </c>
    </row>
    <row r="11">
      <c r="A11" s="4" t="inlineStr">
        <is>
          <t>黑猫投诉该品牌商家页显示近 30 天投诉量 52；本案例样本 41 条中列表显示「已回复」14 条</t>
        </is>
      </c>
      <c r="B11" s="4" t="inlineStr">
        <is>
          <t>公开数据（作者采集）</t>
        </is>
      </c>
      <c r="C11" s="4" t="inlineStr">
        <is>
          <t>黑猫投诉 · 该品牌商家页</t>
        </is>
      </c>
      <c r="D11" s="4" t="inlineStr">
        <is>
          <t>https://tousu.sina.com.cn/company/view/?couid=1888345895</t>
        </is>
      </c>
      <c r="E11" s="4" t="inlineStr">
        <is>
          <t>2026-10-15 访问</t>
        </is>
      </c>
      <c r="F11" s="4" t="inlineStr">
        <is>
          <t>商家页头部与列表</t>
        </is>
      </c>
    </row>
    <row r="12">
      <c r="A12" s="4" t="inlineStr">
        <is>
          <t>该品牌内部如何处理公开投诉平台与电商评价、是否已用 AI 分拣</t>
        </is>
      </c>
      <c r="B12" s="4" t="inlineStr">
        <is>
          <t>尚未找到证据</t>
        </is>
      </c>
      <c r="C12" s="4" t="inlineStr">
        <is>
          <t>—</t>
        </is>
      </c>
      <c r="D12" s="4" t="inlineStr">
        <is>
          <t>—</t>
        </is>
      </c>
      <c r="E12" s="4" t="inlineStr">
        <is>
          <t>—</t>
        </is>
      </c>
      <c r="F12" s="4" t="inlineStr">
        <is>
          <t>列为访谈问题</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40" customWidth="1" min="1" max="1"/>
    <col width="14" customWidth="1" min="2" max="2"/>
    <col width="70" customWidth="1" min="3" max="3"/>
  </cols>
  <sheetData>
    <row r="1">
      <c r="A1" s="5" t="inlineStr">
        <is>
          <t>净价值 ＝ 节省的人工处理成本 － 新增复核、模型及维护成本（按周）</t>
        </is>
      </c>
    </row>
    <row r="3">
      <c r="A3" s="6" t="inlineStr">
        <is>
          <t>输入（黄色可改；绿色为按数据与标签计算的公式）</t>
        </is>
      </c>
      <c r="B3" s="6" t="inlineStr">
        <is>
          <t>数值</t>
        </is>
      </c>
      <c r="C3" s="6" t="inlineStr">
        <is>
          <t>依据</t>
        </is>
      </c>
    </row>
    <row r="4">
      <c r="A4" t="inlineStr">
        <is>
          <t>每周新增条数</t>
        </is>
      </c>
      <c r="B4" s="7">
        <f>(COUNTA(数据!A:A)-1)/13</f>
        <v/>
      </c>
      <c r="C4" s="8" t="inlineStr">
        <is>
          <t>实测（公式）：「数据」表样本条数 / 13 周；该商家页全部品牌约 11.4 条/周（160 条 / 14 周）</t>
        </is>
      </c>
    </row>
    <row r="5">
      <c r="A5" t="inlineStr">
        <is>
          <t>人工：每条分拣＋摘依据＋填清单（分钟）</t>
        </is>
      </c>
      <c r="B5" s="9" t="n">
        <v>4</v>
      </c>
      <c r="C5" s="8" t="inlineStr">
        <is>
          <t>假设：读完一条约 1–2 分钟，判断与填表约 2 分钟；试点时实测替换</t>
        </is>
      </c>
    </row>
    <row r="6">
      <c r="A6" t="inlineStr">
        <is>
          <t>工具辅助后：每条复核（分钟）</t>
        </is>
      </c>
      <c r="B6" s="9" t="n">
        <v>1.5</v>
      </c>
      <c r="C6" s="8" t="inlineStr">
        <is>
          <t>假设：看类别与高亮依据，确认或改一下</t>
        </is>
      </c>
    </row>
    <row r="7">
      <c r="A7" t="inlineStr">
        <is>
          <t>质量安全类占比（这类仍须人工通读，不计节省）</t>
        </is>
      </c>
      <c r="B7" s="7">
        <f>COUNTIF(分类结果!C:C,"质量安全")/(COUNTA(分类结果!A:A)-1)</f>
        <v/>
      </c>
      <c r="C7" s="8" t="inlineStr">
        <is>
          <t>实测（公式）：按「分类结果」表的最终参考类别计算，当前 18/41；参考标签待人工复核</t>
        </is>
      </c>
    </row>
    <row r="8">
      <c r="A8" t="inlineStr">
        <is>
          <t>人力成本（元/小时，含社保等）</t>
        </is>
      </c>
      <c r="B8" s="9" t="n">
        <v>60</v>
      </c>
      <c r="C8" s="8" t="inlineStr">
        <is>
          <t>假设</t>
        </is>
      </c>
    </row>
    <row r="9">
      <c r="A9" t="inlineStr">
        <is>
          <t>模型费用（元/条）</t>
        </is>
      </c>
      <c r="B9" s="9" t="n">
        <v>0.01</v>
      </c>
      <c r="C9" s="8" t="inlineStr">
        <is>
          <t>假设上限：每条约 600 输入＋150 输出 token，按国产通用模型公开价量级估</t>
        </is>
      </c>
    </row>
    <row r="10">
      <c r="A10" t="inlineStr">
        <is>
          <t>维护与每月抽检（小时/月）</t>
        </is>
      </c>
      <c r="B10" s="9" t="n">
        <v>2</v>
      </c>
      <c r="C10" s="8" t="inlineStr">
        <is>
          <t>假设：改提示词、规则与抽检 20 条</t>
        </is>
      </c>
    </row>
    <row r="11">
      <c r="A11" t="inlineStr">
        <is>
          <t>一次性搭建（人日）</t>
        </is>
      </c>
      <c r="B11" s="9" t="n">
        <v>3</v>
      </c>
      <c r="C11" s="8" t="inlineStr">
        <is>
          <t>假设：在现有智能体平台上配置，不含采购</t>
        </is>
      </c>
    </row>
    <row r="12">
      <c r="A12" s="6" t="inlineStr">
        <is>
          <t>结果（绿色＝公式）</t>
        </is>
      </c>
      <c r="B12" s="10" t="inlineStr"/>
    </row>
    <row r="13">
      <c r="A13" t="inlineStr">
        <is>
          <t>每条可节省（元）</t>
        </is>
      </c>
      <c r="B13" s="11">
        <f>(1-B7)*(B5-B6)/60*B8</f>
        <v/>
      </c>
      <c r="C13" t="inlineStr">
        <is>
          <t>只在非质量安全条目上节省</t>
        </is>
      </c>
    </row>
    <row r="14">
      <c r="A14" t="inlineStr">
        <is>
          <t>节省的人工成本（元/周）</t>
        </is>
      </c>
      <c r="B14" s="11">
        <f>B4*B13</f>
        <v/>
      </c>
      <c r="C14" t="inlineStr"/>
    </row>
    <row r="15">
      <c r="A15" t="inlineStr">
        <is>
          <t>新增模型费用（元/周）</t>
        </is>
      </c>
      <c r="B15" s="11">
        <f>B4*B9</f>
        <v/>
      </c>
      <c r="C15" t="inlineStr"/>
    </row>
    <row r="16">
      <c r="A16" t="inlineStr">
        <is>
          <t>维护与抽检（元/周）</t>
        </is>
      </c>
      <c r="B16" s="11">
        <f>B10*B8/4.33</f>
        <v/>
      </c>
      <c r="C16" t="inlineStr">
        <is>
          <t>每月按 4.33 周</t>
        </is>
      </c>
    </row>
    <row r="17">
      <c r="A17" t="inlineStr">
        <is>
          <t>净价值（元/周）</t>
        </is>
      </c>
      <c r="B17" s="11">
        <f>B14-B15-B16</f>
        <v/>
      </c>
      <c r="C17" t="inlineStr">
        <is>
          <t>负数＝不值得单独做</t>
        </is>
      </c>
    </row>
    <row r="18">
      <c r="A18" t="inlineStr">
        <is>
          <t>盈亏平衡所需条数（条/周）</t>
        </is>
      </c>
      <c r="B18" s="11">
        <f>B16/(B13-B9)</f>
        <v/>
      </c>
      <c r="C18" t="inlineStr">
        <is>
          <t>每周新增条数超过它，净价值才为正</t>
        </is>
      </c>
    </row>
    <row r="19">
      <c r="A19" t="inlineStr">
        <is>
          <t>一次性搭建成本（元）</t>
        </is>
      </c>
      <c r="B19" s="11">
        <f>B11*8*B8</f>
        <v/>
      </c>
      <c r="C19" t="inlineStr"/>
    </row>
    <row r="20">
      <c r="A20" t="inlineStr">
        <is>
          <t>搭建成本回收（周）</t>
        </is>
      </c>
      <c r="B20" s="11">
        <f>IF(B17&gt;0,B19/B17,"净价值≤0，不回收")</f>
        <v/>
      </c>
      <c r="C20" t="inlineStr"/>
    </row>
    <row r="23">
      <c r="A23" s="12" t="inlineStr">
        <is>
          <t>敏感性：不同周量下的净价值（其他假设同上）</t>
        </is>
      </c>
    </row>
    <row r="24">
      <c r="A24" s="6" t="inlineStr">
        <is>
          <t>每周新增条数</t>
        </is>
      </c>
      <c r="B24" s="6" t="inlineStr">
        <is>
          <t>净价值（元/周）</t>
        </is>
      </c>
      <c r="C24" s="6" t="inlineStr">
        <is>
          <t>对应情形</t>
        </is>
      </c>
    </row>
    <row r="25">
      <c r="A25" s="13">
        <f>B4</f>
        <v/>
      </c>
      <c r="B25" s="11">
        <f>A25*($B$13-$B$9)-$B$16</f>
        <v/>
      </c>
      <c r="C25" t="inlineStr">
        <is>
          <t>本系列公开投诉（实测，随数据变化）</t>
        </is>
      </c>
    </row>
    <row r="26">
      <c r="A26" s="13" t="n">
        <v>11.4</v>
      </c>
      <c r="B26" s="11">
        <f>A26*($B$13-$B$9)-$B$16</f>
        <v/>
      </c>
      <c r="C26" t="inlineStr">
        <is>
          <t>该商家页全部品牌公开投诉（实测）</t>
        </is>
      </c>
    </row>
    <row r="27">
      <c r="A27" s="13" t="n">
        <v>50</v>
      </c>
      <c r="B27" s="11">
        <f>A27*($B$13-$B$9)-$B$16</f>
        <v/>
      </c>
      <c r="C27" t="inlineStr">
        <is>
          <t>假设：再加一个电商平台的差评</t>
        </is>
      </c>
    </row>
    <row r="28">
      <c r="A28" s="13" t="n">
        <v>200</v>
      </c>
      <c r="B28" s="11">
        <f>A28*($B$13-$B$9)-$B$16</f>
        <v/>
      </c>
      <c r="C28" t="inlineStr">
        <is>
          <t>假设：多平台差评＋客服工单</t>
        </is>
      </c>
    </row>
    <row r="29">
      <c r="A29" s="13" t="n">
        <v>1000</v>
      </c>
      <c r="B29" s="11">
        <f>A29*($B$13-$B$9)-$B$16</f>
        <v/>
      </c>
      <c r="C29" t="inlineStr">
        <is>
          <t>假设：全渠道评价与工单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2026-10-29T09:40:14Z</dcterms:created>
  <dcterms:modified xmlns:dcterms="http://purl.org/dc/terms/" xmlns:xsi="http://www.w3.org/2001/XMLSchema-instance" xsi:type="dcterms:W3CDTF">2026-10-29T09:40:14Z</dcterms:modified>
</cp:coreProperties>
</file>